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ffc109dfa03492b/Documents/My Projects/"/>
    </mc:Choice>
  </mc:AlternateContent>
  <xr:revisionPtr revIDLastSave="0" documentId="8_{7C7A6723-846C-4DAC-8046-9B346281C0EF}" xr6:coauthVersionLast="47" xr6:coauthVersionMax="47" xr10:uidLastSave="{00000000-0000-0000-0000-000000000000}"/>
  <bookViews>
    <workbookView xWindow="-108" yWindow="-108" windowWidth="23256" windowHeight="12456" activeTab="1" xr2:uid="{91294756-39EB-4E8A-A62E-B6CE1E308F12}"/>
  </bookViews>
  <sheets>
    <sheet name="Sheet1" sheetId="2" r:id="rId1"/>
    <sheet name="car inventory (1)" sheetId="1" r:id="rId2"/>
  </sheets>
  <definedNames>
    <definedName name="_xlnm._FilterDatabase" localSheetId="1" hidden="1">'car inventory (1)'!$E$55:$E$66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M2" i="1"/>
  <c r="M23" i="1"/>
  <c r="M31" i="1"/>
  <c r="M35" i="1"/>
  <c r="M26" i="1"/>
  <c r="M22" i="1"/>
  <c r="M33" i="1"/>
  <c r="M28" i="1"/>
  <c r="M30" i="1"/>
  <c r="M50" i="1"/>
  <c r="M41" i="1"/>
  <c r="M53" i="1"/>
  <c r="M43" i="1"/>
  <c r="M49" i="1"/>
  <c r="M51" i="1"/>
  <c r="M36" i="1"/>
  <c r="M10" i="1"/>
  <c r="M8" i="1"/>
  <c r="M3" i="1"/>
  <c r="M4" i="1"/>
  <c r="M5" i="1"/>
  <c r="M15" i="1"/>
  <c r="M16" i="1"/>
  <c r="M20" i="1"/>
  <c r="M7" i="1"/>
  <c r="M47" i="1"/>
  <c r="M29" i="1"/>
  <c r="M45" i="1"/>
  <c r="M9" i="1"/>
  <c r="M17" i="1"/>
  <c r="M48" i="1"/>
  <c r="M32" i="1"/>
  <c r="M34" i="1"/>
  <c r="M40" i="1"/>
  <c r="M52" i="1"/>
  <c r="M14" i="1"/>
  <c r="M21" i="1"/>
  <c r="M25" i="1"/>
  <c r="M19" i="1"/>
  <c r="M18" i="1"/>
  <c r="M13" i="1"/>
  <c r="M27" i="1"/>
  <c r="M39" i="1"/>
  <c r="M12" i="1"/>
  <c r="M11" i="1"/>
  <c r="M6" i="1"/>
  <c r="M24" i="1"/>
  <c r="M37" i="1"/>
  <c r="M44" i="1"/>
  <c r="M46" i="1"/>
  <c r="M42" i="1"/>
  <c r="M38" i="1"/>
  <c r="F14" i="1"/>
  <c r="G14" i="1" s="1"/>
  <c r="F33" i="1"/>
  <c r="G33" i="1" s="1"/>
  <c r="F28" i="1"/>
  <c r="G28" i="1" s="1"/>
  <c r="F30" i="1"/>
  <c r="G30" i="1" s="1"/>
  <c r="F50" i="1"/>
  <c r="G50" i="1" s="1"/>
  <c r="I50" i="1" s="1"/>
  <c r="F41" i="1"/>
  <c r="G41" i="1" s="1"/>
  <c r="I41" i="1" s="1"/>
  <c r="F53" i="1"/>
  <c r="G53" i="1" s="1"/>
  <c r="I53" i="1" s="1"/>
  <c r="F43" i="1"/>
  <c r="G43" i="1" s="1"/>
  <c r="I43" i="1" s="1"/>
  <c r="F49" i="1"/>
  <c r="G49" i="1" s="1"/>
  <c r="I49" i="1" s="1"/>
  <c r="F51" i="1"/>
  <c r="G51" i="1" s="1"/>
  <c r="I51" i="1" s="1"/>
  <c r="F36" i="1"/>
  <c r="G36" i="1" s="1"/>
  <c r="F10" i="1"/>
  <c r="G10" i="1" s="1"/>
  <c r="F8" i="1"/>
  <c r="G8" i="1" s="1"/>
  <c r="F3" i="1"/>
  <c r="G3" i="1" s="1"/>
  <c r="F4" i="1"/>
  <c r="G4" i="1" s="1"/>
  <c r="I3" i="1" s="1"/>
  <c r="F5" i="1"/>
  <c r="G5" i="1" s="1"/>
  <c r="I4" i="1" s="1"/>
  <c r="F15" i="1"/>
  <c r="G15" i="1" s="1"/>
  <c r="I14" i="1" s="1"/>
  <c r="F16" i="1"/>
  <c r="G16" i="1" s="1"/>
  <c r="I15" i="1" s="1"/>
  <c r="F20" i="1"/>
  <c r="G20" i="1" s="1"/>
  <c r="F7" i="1"/>
  <c r="G7" i="1" s="1"/>
  <c r="F47" i="1"/>
  <c r="G47" i="1" s="1"/>
  <c r="I47" i="1" s="1"/>
  <c r="F29" i="1"/>
  <c r="G29" i="1" s="1"/>
  <c r="I28" i="1" s="1"/>
  <c r="F45" i="1"/>
  <c r="G45" i="1" s="1"/>
  <c r="I45" i="1" s="1"/>
  <c r="F9" i="1"/>
  <c r="G9" i="1" s="1"/>
  <c r="I8" i="1" s="1"/>
  <c r="F17" i="1"/>
  <c r="G17" i="1" s="1"/>
  <c r="I16" i="1" s="1"/>
  <c r="F48" i="1"/>
  <c r="G48" i="1" s="1"/>
  <c r="I48" i="1" s="1"/>
  <c r="F32" i="1"/>
  <c r="G32" i="1" s="1"/>
  <c r="F34" i="1"/>
  <c r="G34" i="1" s="1"/>
  <c r="I33" i="1" s="1"/>
  <c r="F40" i="1"/>
  <c r="G40" i="1" s="1"/>
  <c r="I40" i="1" s="1"/>
  <c r="F52" i="1"/>
  <c r="G52" i="1" s="1"/>
  <c r="I52" i="1" s="1"/>
  <c r="F21" i="1"/>
  <c r="G21" i="1" s="1"/>
  <c r="I20" i="1" s="1"/>
  <c r="F25" i="1"/>
  <c r="G25" i="1" s="1"/>
  <c r="F19" i="1"/>
  <c r="G19" i="1" s="1"/>
  <c r="I17" i="1" s="1"/>
  <c r="F18" i="1"/>
  <c r="G18" i="1" s="1"/>
  <c r="I18" i="1" s="1"/>
  <c r="F13" i="1"/>
  <c r="G13" i="1" s="1"/>
  <c r="F27" i="1"/>
  <c r="G27" i="1" s="1"/>
  <c r="F39" i="1"/>
  <c r="G39" i="1" s="1"/>
  <c r="I39" i="1" s="1"/>
  <c r="F12" i="1"/>
  <c r="G12" i="1" s="1"/>
  <c r="F11" i="1"/>
  <c r="G11" i="1" s="1"/>
  <c r="I10" i="1" s="1"/>
  <c r="F6" i="1"/>
  <c r="G6" i="1" s="1"/>
  <c r="I5" i="1" s="1"/>
  <c r="F24" i="1"/>
  <c r="G24" i="1" s="1"/>
  <c r="F37" i="1"/>
  <c r="G37" i="1" s="1"/>
  <c r="I36" i="1" s="1"/>
  <c r="F44" i="1"/>
  <c r="G44" i="1" s="1"/>
  <c r="I44" i="1" s="1"/>
  <c r="F46" i="1"/>
  <c r="G46" i="1" s="1"/>
  <c r="I46" i="1" s="1"/>
  <c r="F42" i="1"/>
  <c r="G42" i="1" s="1"/>
  <c r="I42" i="1" s="1"/>
  <c r="F2" i="1"/>
  <c r="G2" i="1" s="1"/>
  <c r="F23" i="1"/>
  <c r="G23" i="1" s="1"/>
  <c r="F31" i="1"/>
  <c r="G31" i="1" s="1"/>
  <c r="I30" i="1" s="1"/>
  <c r="F35" i="1"/>
  <c r="G35" i="1" s="1"/>
  <c r="I34" i="1" s="1"/>
  <c r="F26" i="1"/>
  <c r="G26" i="1" s="1"/>
  <c r="I25" i="1" s="1"/>
  <c r="F22" i="1"/>
  <c r="G22" i="1" s="1"/>
  <c r="I21" i="1" s="1"/>
  <c r="F38" i="1"/>
  <c r="G38" i="1" s="1"/>
  <c r="I37" i="1" s="1"/>
  <c r="D19" i="1"/>
  <c r="E19" i="1" s="1"/>
  <c r="D20" i="1"/>
  <c r="E20" i="1" s="1"/>
  <c r="D7" i="1"/>
  <c r="E7" i="1" s="1"/>
  <c r="D47" i="1"/>
  <c r="E47" i="1" s="1"/>
  <c r="D29" i="1"/>
  <c r="E29" i="1" s="1"/>
  <c r="D45" i="1"/>
  <c r="E45" i="1" s="1"/>
  <c r="D9" i="1"/>
  <c r="E9" i="1" s="1"/>
  <c r="D17" i="1"/>
  <c r="E17" i="1" s="1"/>
  <c r="D48" i="1"/>
  <c r="E48" i="1" s="1"/>
  <c r="D32" i="1"/>
  <c r="E32" i="1" s="1"/>
  <c r="D34" i="1"/>
  <c r="E34" i="1" s="1"/>
  <c r="D40" i="1"/>
  <c r="E40" i="1" s="1"/>
  <c r="D52" i="1"/>
  <c r="E52" i="1" s="1"/>
  <c r="D14" i="1"/>
  <c r="E14" i="1" s="1"/>
  <c r="D21" i="1"/>
  <c r="E21" i="1" s="1"/>
  <c r="D25" i="1"/>
  <c r="E25" i="1" s="1"/>
  <c r="D18" i="1"/>
  <c r="E18" i="1" s="1"/>
  <c r="D13" i="1"/>
  <c r="E13" i="1" s="1"/>
  <c r="D27" i="1"/>
  <c r="E27" i="1" s="1"/>
  <c r="D39" i="1"/>
  <c r="E39" i="1" s="1"/>
  <c r="D12" i="1"/>
  <c r="E12" i="1" s="1"/>
  <c r="D11" i="1"/>
  <c r="E11" i="1" s="1"/>
  <c r="D6" i="1"/>
  <c r="E6" i="1" s="1"/>
  <c r="D24" i="1"/>
  <c r="E24" i="1" s="1"/>
  <c r="D37" i="1"/>
  <c r="E37" i="1" s="1"/>
  <c r="D44" i="1"/>
  <c r="E44" i="1" s="1"/>
  <c r="D46" i="1"/>
  <c r="E46" i="1" s="1"/>
  <c r="D42" i="1"/>
  <c r="E42" i="1" s="1"/>
  <c r="D2" i="1"/>
  <c r="E2" i="1" s="1"/>
  <c r="D23" i="1"/>
  <c r="E23" i="1" s="1"/>
  <c r="D31" i="1"/>
  <c r="E31" i="1" s="1"/>
  <c r="D35" i="1"/>
  <c r="E35" i="1" s="1"/>
  <c r="D26" i="1"/>
  <c r="E26" i="1" s="1"/>
  <c r="D22" i="1"/>
  <c r="E22" i="1" s="1"/>
  <c r="D33" i="1"/>
  <c r="E33" i="1" s="1"/>
  <c r="D28" i="1"/>
  <c r="E28" i="1" s="1"/>
  <c r="D30" i="1"/>
  <c r="E30" i="1" s="1"/>
  <c r="D50" i="1"/>
  <c r="E50" i="1" s="1"/>
  <c r="D41" i="1"/>
  <c r="E41" i="1" s="1"/>
  <c r="D53" i="1"/>
  <c r="E53" i="1" s="1"/>
  <c r="D43" i="1"/>
  <c r="E43" i="1" s="1"/>
  <c r="D49" i="1"/>
  <c r="E49" i="1" s="1"/>
  <c r="D51" i="1"/>
  <c r="E51" i="1" s="1"/>
  <c r="D36" i="1"/>
  <c r="E36" i="1" s="1"/>
  <c r="D10" i="1"/>
  <c r="E10" i="1" s="1"/>
  <c r="D8" i="1"/>
  <c r="E8" i="1" s="1"/>
  <c r="D3" i="1"/>
  <c r="E3" i="1" s="1"/>
  <c r="D4" i="1"/>
  <c r="E4" i="1" s="1"/>
  <c r="D5" i="1"/>
  <c r="E5" i="1" s="1"/>
  <c r="D15" i="1"/>
  <c r="E15" i="1" s="1"/>
  <c r="D16" i="1"/>
  <c r="E16" i="1" s="1"/>
  <c r="B2" i="1"/>
  <c r="B23" i="1"/>
  <c r="B31" i="1"/>
  <c r="B35" i="1"/>
  <c r="B26" i="1"/>
  <c r="B22" i="1"/>
  <c r="B33" i="1"/>
  <c r="B28" i="1"/>
  <c r="B30" i="1"/>
  <c r="B50" i="1"/>
  <c r="B41" i="1"/>
  <c r="B53" i="1"/>
  <c r="B43" i="1"/>
  <c r="B49" i="1"/>
  <c r="B51" i="1"/>
  <c r="B36" i="1"/>
  <c r="B10" i="1"/>
  <c r="B8" i="1"/>
  <c r="B3" i="1"/>
  <c r="B4" i="1"/>
  <c r="B5" i="1"/>
  <c r="B15" i="1"/>
  <c r="B16" i="1"/>
  <c r="B20" i="1"/>
  <c r="B7" i="1"/>
  <c r="B47" i="1"/>
  <c r="B29" i="1"/>
  <c r="B45" i="1"/>
  <c r="B9" i="1"/>
  <c r="B17" i="1"/>
  <c r="B48" i="1"/>
  <c r="B32" i="1"/>
  <c r="B34" i="1"/>
  <c r="B40" i="1"/>
  <c r="B52" i="1"/>
  <c r="B14" i="1"/>
  <c r="B21" i="1"/>
  <c r="B25" i="1"/>
  <c r="B19" i="1"/>
  <c r="B18" i="1"/>
  <c r="B13" i="1"/>
  <c r="B27" i="1"/>
  <c r="B39" i="1"/>
  <c r="B12" i="1"/>
  <c r="B11" i="1"/>
  <c r="B6" i="1"/>
  <c r="B24" i="1"/>
  <c r="B37" i="1"/>
  <c r="B44" i="1"/>
  <c r="B46" i="1"/>
  <c r="B42" i="1"/>
  <c r="B38" i="1"/>
  <c r="C38" i="1" s="1"/>
  <c r="I22" i="1" l="1"/>
  <c r="I38" i="1"/>
  <c r="I23" i="1"/>
  <c r="I11" i="1"/>
  <c r="I26" i="1"/>
  <c r="I12" i="1"/>
  <c r="I24" i="1"/>
  <c r="I31" i="1"/>
  <c r="I6" i="1"/>
  <c r="I19" i="1"/>
  <c r="I2" i="1"/>
  <c r="I7" i="1"/>
  <c r="I9" i="1"/>
  <c r="I35" i="1"/>
  <c r="I29" i="1"/>
  <c r="I27" i="1"/>
  <c r="I32" i="1"/>
  <c r="I13" i="1"/>
  <c r="N38" i="1"/>
  <c r="N42" i="1"/>
  <c r="C42" i="1"/>
  <c r="N46" i="1"/>
  <c r="C46" i="1"/>
  <c r="N44" i="1"/>
  <c r="C44" i="1"/>
  <c r="N37" i="1"/>
  <c r="C37" i="1"/>
  <c r="N24" i="1"/>
  <c r="C24" i="1"/>
  <c r="N6" i="1"/>
  <c r="C6" i="1"/>
  <c r="N11" i="1"/>
  <c r="C11" i="1"/>
  <c r="N12" i="1"/>
  <c r="C12" i="1"/>
  <c r="N39" i="1"/>
  <c r="C39" i="1"/>
  <c r="N27" i="1"/>
  <c r="C27" i="1"/>
  <c r="N13" i="1"/>
  <c r="C13" i="1"/>
  <c r="N18" i="1"/>
  <c r="C18" i="1"/>
  <c r="C19" i="1"/>
  <c r="N19" i="1"/>
  <c r="N25" i="1"/>
  <c r="C25" i="1"/>
  <c r="N21" i="1"/>
  <c r="C21" i="1"/>
  <c r="C14" i="1"/>
  <c r="N14" i="1"/>
  <c r="N52" i="1"/>
  <c r="C52" i="1"/>
  <c r="N40" i="1"/>
  <c r="C40" i="1"/>
  <c r="N34" i="1"/>
  <c r="C34" i="1"/>
  <c r="N32" i="1"/>
  <c r="C32" i="1"/>
  <c r="N48" i="1"/>
  <c r="C48" i="1"/>
  <c r="N17" i="1"/>
  <c r="C17" i="1"/>
  <c r="N9" i="1"/>
  <c r="C9" i="1"/>
  <c r="N45" i="1"/>
  <c r="C45" i="1"/>
  <c r="N29" i="1"/>
  <c r="C29" i="1"/>
  <c r="N47" i="1"/>
  <c r="C47" i="1"/>
  <c r="N7" i="1"/>
  <c r="C7" i="1"/>
  <c r="N20" i="1"/>
  <c r="C20" i="1"/>
  <c r="N16" i="1"/>
  <c r="C16" i="1"/>
  <c r="N15" i="1"/>
  <c r="C15" i="1"/>
  <c r="N5" i="1"/>
  <c r="C5" i="1"/>
  <c r="N4" i="1"/>
  <c r="C4" i="1"/>
  <c r="N3" i="1"/>
  <c r="C3" i="1"/>
  <c r="N8" i="1"/>
  <c r="C8" i="1"/>
  <c r="N10" i="1"/>
  <c r="C10" i="1"/>
  <c r="N36" i="1"/>
  <c r="C36" i="1"/>
  <c r="N51" i="1"/>
  <c r="C51" i="1"/>
  <c r="N49" i="1"/>
  <c r="C49" i="1"/>
  <c r="C43" i="1"/>
  <c r="N43" i="1"/>
  <c r="N53" i="1"/>
  <c r="C53" i="1"/>
  <c r="N41" i="1"/>
  <c r="C41" i="1"/>
  <c r="N50" i="1"/>
  <c r="C50" i="1"/>
  <c r="N30" i="1"/>
  <c r="C30" i="1"/>
  <c r="N28" i="1"/>
  <c r="C28" i="1"/>
  <c r="N33" i="1"/>
  <c r="C33" i="1"/>
  <c r="N22" i="1"/>
  <c r="C22" i="1"/>
  <c r="C26" i="1"/>
  <c r="N26" i="1"/>
  <c r="N35" i="1"/>
  <c r="C35" i="1"/>
  <c r="N31" i="1"/>
  <c r="C31" i="1"/>
  <c r="N23" i="1"/>
  <c r="C23" i="1"/>
  <c r="N2" i="1"/>
  <c r="C2" i="1"/>
  <c r="E38" i="1"/>
</calcChain>
</file>

<file path=xl/sharedStrings.xml><?xml version="1.0" encoding="utf-8"?>
<sst xmlns="http://schemas.openxmlformats.org/spreadsheetml/2006/main" count="224" uniqueCount="124">
  <si>
    <t>Driver</t>
  </si>
  <si>
    <t>Sum of Miles</t>
  </si>
  <si>
    <t>Bard</t>
  </si>
  <si>
    <t>Chan</t>
  </si>
  <si>
    <t>Ewenty</t>
  </si>
  <si>
    <t>Gaul</t>
  </si>
  <si>
    <t>Howard</t>
  </si>
  <si>
    <t>Hulinski</t>
  </si>
  <si>
    <t>Jones</t>
  </si>
  <si>
    <t>Lyon</t>
  </si>
  <si>
    <t>McCall</t>
  </si>
  <si>
    <t>Praulty</t>
  </si>
  <si>
    <t>Rodriguez</t>
  </si>
  <si>
    <t>Santos</t>
  </si>
  <si>
    <t>Smith</t>
  </si>
  <si>
    <t>Swartz</t>
  </si>
  <si>
    <t>Torrens</t>
  </si>
  <si>
    <t>Vizzini</t>
  </si>
  <si>
    <t>Yousef</t>
  </si>
  <si>
    <t>Grand Total</t>
  </si>
  <si>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</si>
  <si>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</si>
  <si>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</si>
  <si>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</si>
  <si>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</si>
  <si>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</si>
  <si>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</si>
  <si>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</si>
  <si>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</si>
  <si>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</si>
  <si>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Warantee Miles</t>
  </si>
  <si>
    <t>Covered?</t>
  </si>
  <si>
    <t>New Car ID</t>
  </si>
  <si>
    <t>FD19MTG002</t>
  </si>
  <si>
    <t>White</t>
  </si>
  <si>
    <t>TY96CAM020</t>
  </si>
  <si>
    <t>Green</t>
  </si>
  <si>
    <t>TY98CAM021</t>
  </si>
  <si>
    <t>Black</t>
  </si>
  <si>
    <t>TY00CAM022</t>
  </si>
  <si>
    <t>CR04CAR047</t>
  </si>
  <si>
    <t>TY03COR026</t>
  </si>
  <si>
    <t>GM00SLV019</t>
  </si>
  <si>
    <t>Blue</t>
  </si>
  <si>
    <t>HO99CIV030</t>
  </si>
  <si>
    <t>GM98SLV018</t>
  </si>
  <si>
    <t>CR00CAR046</t>
  </si>
  <si>
    <t>CR99CAR045</t>
  </si>
  <si>
    <t>CR04PTC042</t>
  </si>
  <si>
    <t>HO05ODY037</t>
  </si>
  <si>
    <t>TY02CAM023</t>
  </si>
  <si>
    <t>TY09CAM024</t>
  </si>
  <si>
    <t>HO01CIV031</t>
  </si>
  <si>
    <t>HO14ODY041</t>
  </si>
  <si>
    <t>HO01ODY040</t>
  </si>
  <si>
    <t>TY02COR025</t>
  </si>
  <si>
    <t>Red</t>
  </si>
  <si>
    <t>HO07ODY038</t>
  </si>
  <si>
    <t>FD06FCS007</t>
  </si>
  <si>
    <t>FD08MTG003</t>
  </si>
  <si>
    <t>CR04CAR048</t>
  </si>
  <si>
    <t>HO08ODY039</t>
  </si>
  <si>
    <t>FD06FCS006</t>
  </si>
  <si>
    <t>CR07PTC043</t>
  </si>
  <si>
    <t>FD13FCS009</t>
  </si>
  <si>
    <t>TY12COR028</t>
  </si>
  <si>
    <t>FD13FCS010</t>
  </si>
  <si>
    <t>FD08MTG004</t>
  </si>
  <si>
    <t>HO10CIV033</t>
  </si>
  <si>
    <t>FD09FCS008</t>
  </si>
  <si>
    <t>HO11CIV034</t>
  </si>
  <si>
    <t>FD08MTG005</t>
  </si>
  <si>
    <t>GM10SLV017</t>
  </si>
  <si>
    <t>HY11ELA049</t>
  </si>
  <si>
    <t>FD05MTG001</t>
  </si>
  <si>
    <t>CR11PTC044</t>
  </si>
  <si>
    <t>HO12CIV035</t>
  </si>
  <si>
    <t>FD13FCS012</t>
  </si>
  <si>
    <t>HY13ELA052</t>
  </si>
  <si>
    <t>GM09CMR014</t>
  </si>
  <si>
    <t>HY12ELA050</t>
  </si>
  <si>
    <t>TY12CAM029</t>
  </si>
  <si>
    <t>HY13ELA051</t>
  </si>
  <si>
    <t>TY14COR027</t>
  </si>
  <si>
    <t>HO10CIV032</t>
  </si>
  <si>
    <t>GM12CMR015</t>
  </si>
  <si>
    <t>FD12FCS011</t>
  </si>
  <si>
    <t>GM14CMR016</t>
  </si>
  <si>
    <t>HO13CIV036</t>
  </si>
  <si>
    <t>FD13FCS013</t>
  </si>
  <si>
    <t>CR</t>
  </si>
  <si>
    <t>Chrysler</t>
  </si>
  <si>
    <t>CAM</t>
  </si>
  <si>
    <t>Camry</t>
  </si>
  <si>
    <t>FD</t>
  </si>
  <si>
    <t>Ford</t>
  </si>
  <si>
    <t>CAR</t>
  </si>
  <si>
    <t>Caravan</t>
  </si>
  <si>
    <t>GM</t>
  </si>
  <si>
    <t>General Motors</t>
  </si>
  <si>
    <t>CIV</t>
  </si>
  <si>
    <t>Civic</t>
  </si>
  <si>
    <t>HO</t>
  </si>
  <si>
    <t>Honda</t>
  </si>
  <si>
    <t>CMR</t>
  </si>
  <si>
    <t>Camero</t>
  </si>
  <si>
    <t>HY</t>
  </si>
  <si>
    <t>Hyundai</t>
  </si>
  <si>
    <t>COR</t>
  </si>
  <si>
    <t>Corolla</t>
  </si>
  <si>
    <t>TY</t>
  </si>
  <si>
    <t>Toyota</t>
  </si>
  <si>
    <t>ELA</t>
  </si>
  <si>
    <t>Elantra</t>
  </si>
  <si>
    <t>FCS</t>
  </si>
  <si>
    <t>Focus</t>
  </si>
  <si>
    <t>MTG</t>
  </si>
  <si>
    <t>Mustang</t>
  </si>
  <si>
    <t>ODY</t>
  </si>
  <si>
    <t>Odyssey</t>
  </si>
  <si>
    <t>PTC</t>
  </si>
  <si>
    <t>PT Cruiser</t>
  </si>
  <si>
    <t>SLV</t>
  </si>
  <si>
    <t>silverado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</si>
</sst>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43" fontId="0" fillId="0" borderId="0" xfId="1" applyFont="1"/>
    <xf numFmtId="0" fontId="0" fillId="0" borderId="0" xfId="0" pivotButton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164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 11.xlsx]Sheet1!PivotTable1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_(* #,##0.0_);_(* \(#,##0.0\);_(* "-"??_);_(@_)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F-4366-B85C-3129567AB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177479"/>
        <c:axId val="883179527"/>
      </c:barChart>
      <c:catAx>
        <c:axId val="883177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Driver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179527"/>
        <c:crosses val="autoZero"/>
        <c:auto val="1"/>
        <c:lblAlgn val="ctr"/>
        <c:lblOffset val="100"/>
        <c:noMultiLvlLbl val="0"/>
      </c:catAx>
      <c:valAx>
        <c:axId val="883179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177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Age of the car (Years)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 (1)'!$G$2:$G$66</c:f>
              <c:numCache>
                <c:formatCode>General</c:formatCode>
                <c:ptCount val="65"/>
                <c:pt idx="0">
                  <c:v>7</c:v>
                </c:pt>
                <c:pt idx="1">
                  <c:v>30</c:v>
                </c:pt>
                <c:pt idx="2">
                  <c:v>28</c:v>
                </c:pt>
                <c:pt idx="3">
                  <c:v>26</c:v>
                </c:pt>
                <c:pt idx="4">
                  <c:v>22</c:v>
                </c:pt>
                <c:pt idx="5">
                  <c:v>23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26</c:v>
                </c:pt>
                <c:pt idx="10">
                  <c:v>27</c:v>
                </c:pt>
                <c:pt idx="11">
                  <c:v>22</c:v>
                </c:pt>
                <c:pt idx="12">
                  <c:v>21</c:v>
                </c:pt>
                <c:pt idx="13">
                  <c:v>24</c:v>
                </c:pt>
                <c:pt idx="14">
                  <c:v>17</c:v>
                </c:pt>
                <c:pt idx="15">
                  <c:v>25</c:v>
                </c:pt>
                <c:pt idx="16">
                  <c:v>12</c:v>
                </c:pt>
                <c:pt idx="17">
                  <c:v>25</c:v>
                </c:pt>
                <c:pt idx="18">
                  <c:v>24</c:v>
                </c:pt>
                <c:pt idx="19">
                  <c:v>19</c:v>
                </c:pt>
                <c:pt idx="20">
                  <c:v>20</c:v>
                </c:pt>
                <c:pt idx="21">
                  <c:v>18</c:v>
                </c:pt>
                <c:pt idx="22">
                  <c:v>22</c:v>
                </c:pt>
                <c:pt idx="23">
                  <c:v>18</c:v>
                </c:pt>
                <c:pt idx="24">
                  <c:v>20</c:v>
                </c:pt>
                <c:pt idx="25">
                  <c:v>19</c:v>
                </c:pt>
                <c:pt idx="26">
                  <c:v>13</c:v>
                </c:pt>
                <c:pt idx="27">
                  <c:v>14</c:v>
                </c:pt>
                <c:pt idx="28">
                  <c:v>13</c:v>
                </c:pt>
                <c:pt idx="29">
                  <c:v>18</c:v>
                </c:pt>
                <c:pt idx="30">
                  <c:v>16</c:v>
                </c:pt>
                <c:pt idx="31">
                  <c:v>17</c:v>
                </c:pt>
                <c:pt idx="32">
                  <c:v>15</c:v>
                </c:pt>
                <c:pt idx="33">
                  <c:v>18</c:v>
                </c:pt>
                <c:pt idx="34">
                  <c:v>16</c:v>
                </c:pt>
                <c:pt idx="35">
                  <c:v>15</c:v>
                </c:pt>
                <c:pt idx="36">
                  <c:v>21</c:v>
                </c:pt>
                <c:pt idx="37">
                  <c:v>15</c:v>
                </c:pt>
                <c:pt idx="38">
                  <c:v>14</c:v>
                </c:pt>
                <c:pt idx="39">
                  <c:v>13</c:v>
                </c:pt>
                <c:pt idx="40">
                  <c:v>13</c:v>
                </c:pt>
                <c:pt idx="41">
                  <c:v>17</c:v>
                </c:pt>
                <c:pt idx="42">
                  <c:v>14</c:v>
                </c:pt>
                <c:pt idx="43">
                  <c:v>14</c:v>
                </c:pt>
                <c:pt idx="44">
                  <c:v>13</c:v>
                </c:pt>
                <c:pt idx="45">
                  <c:v>12</c:v>
                </c:pt>
                <c:pt idx="46">
                  <c:v>16</c:v>
                </c:pt>
                <c:pt idx="47">
                  <c:v>14</c:v>
                </c:pt>
                <c:pt idx="48">
                  <c:v>14</c:v>
                </c:pt>
                <c:pt idx="49">
                  <c:v>12</c:v>
                </c:pt>
                <c:pt idx="50">
                  <c:v>13</c:v>
                </c:pt>
                <c:pt idx="51">
                  <c:v>13</c:v>
                </c:pt>
              </c:numCache>
            </c:numRef>
          </c:xVal>
          <c:yVal>
            <c:numRef>
              <c:f>'car inventory (1)'!$H$2:$H$66</c:f>
              <c:numCache>
                <c:formatCode>_(* #,##0.00_);_(* \(#,##0.00\);_(* "-"??_);_(@_)</c:formatCode>
                <c:ptCount val="65"/>
                <c:pt idx="0">
                  <c:v>44974.8</c:v>
                </c:pt>
                <c:pt idx="1">
                  <c:v>114660.6</c:v>
                </c:pt>
                <c:pt idx="2">
                  <c:v>93382.6</c:v>
                </c:pt>
                <c:pt idx="3">
                  <c:v>85928</c:v>
                </c:pt>
                <c:pt idx="4">
                  <c:v>72527.199999999997</c:v>
                </c:pt>
                <c:pt idx="5">
                  <c:v>73444.399999999994</c:v>
                </c:pt>
                <c:pt idx="6">
                  <c:v>80685.8</c:v>
                </c:pt>
                <c:pt idx="7">
                  <c:v>82374</c:v>
                </c:pt>
                <c:pt idx="8">
                  <c:v>83162.7</c:v>
                </c:pt>
                <c:pt idx="9">
                  <c:v>77243.100000000006</c:v>
                </c:pt>
                <c:pt idx="10">
                  <c:v>79420.600000000006</c:v>
                </c:pt>
                <c:pt idx="11">
                  <c:v>64542</c:v>
                </c:pt>
                <c:pt idx="12">
                  <c:v>60389.5</c:v>
                </c:pt>
                <c:pt idx="13">
                  <c:v>67829.100000000006</c:v>
                </c:pt>
                <c:pt idx="14">
                  <c:v>48114.2</c:v>
                </c:pt>
                <c:pt idx="15">
                  <c:v>69891.899999999994</c:v>
                </c:pt>
                <c:pt idx="16">
                  <c:v>33708.1</c:v>
                </c:pt>
                <c:pt idx="17">
                  <c:v>68658.899999999994</c:v>
                </c:pt>
                <c:pt idx="18">
                  <c:v>64467.4</c:v>
                </c:pt>
                <c:pt idx="19">
                  <c:v>50854.1</c:v>
                </c:pt>
                <c:pt idx="20">
                  <c:v>52229.5</c:v>
                </c:pt>
                <c:pt idx="21">
                  <c:v>44946.5</c:v>
                </c:pt>
                <c:pt idx="22">
                  <c:v>52699.4</c:v>
                </c:pt>
                <c:pt idx="23">
                  <c:v>42504.6</c:v>
                </c:pt>
                <c:pt idx="24">
                  <c:v>46311.4</c:v>
                </c:pt>
                <c:pt idx="25">
                  <c:v>42074.2</c:v>
                </c:pt>
                <c:pt idx="26">
                  <c:v>27637.1</c:v>
                </c:pt>
                <c:pt idx="27">
                  <c:v>29601.9</c:v>
                </c:pt>
                <c:pt idx="28">
                  <c:v>27534.799999999999</c:v>
                </c:pt>
                <c:pt idx="29">
                  <c:v>37558.800000000003</c:v>
                </c:pt>
                <c:pt idx="30">
                  <c:v>33477.199999999997</c:v>
                </c:pt>
                <c:pt idx="31">
                  <c:v>35137</c:v>
                </c:pt>
                <c:pt idx="32">
                  <c:v>30555.3</c:v>
                </c:pt>
                <c:pt idx="33">
                  <c:v>36438.5</c:v>
                </c:pt>
                <c:pt idx="34">
                  <c:v>31144.400000000001</c:v>
                </c:pt>
                <c:pt idx="35">
                  <c:v>29102.3</c:v>
                </c:pt>
                <c:pt idx="36">
                  <c:v>40326.800000000003</c:v>
                </c:pt>
                <c:pt idx="37">
                  <c:v>27394.2</c:v>
                </c:pt>
                <c:pt idx="38">
                  <c:v>24513.200000000001</c:v>
                </c:pt>
                <c:pt idx="39">
                  <c:v>22521.599999999999</c:v>
                </c:pt>
                <c:pt idx="40">
                  <c:v>22188.5</c:v>
                </c:pt>
                <c:pt idx="41">
                  <c:v>28464.799999999999</c:v>
                </c:pt>
                <c:pt idx="42">
                  <c:v>22282</c:v>
                </c:pt>
                <c:pt idx="43">
                  <c:v>22128.2</c:v>
                </c:pt>
                <c:pt idx="44">
                  <c:v>20223.900000000001</c:v>
                </c:pt>
                <c:pt idx="45">
                  <c:v>17556.3</c:v>
                </c:pt>
                <c:pt idx="46">
                  <c:v>22573</c:v>
                </c:pt>
                <c:pt idx="47">
                  <c:v>19421.099999999999</c:v>
                </c:pt>
                <c:pt idx="48">
                  <c:v>19341.7</c:v>
                </c:pt>
                <c:pt idx="49">
                  <c:v>14289.6</c:v>
                </c:pt>
                <c:pt idx="50">
                  <c:v>13867.6</c:v>
                </c:pt>
                <c:pt idx="51">
                  <c:v>13682.9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7-4A73-99EA-41CB1BBAB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881864"/>
        <c:axId val="1229883912"/>
      </c:scatterChart>
      <c:valAx>
        <c:axId val="1229881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of the car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883912"/>
        <c:crosses val="autoZero"/>
        <c:crossBetween val="midCat"/>
      </c:valAx>
      <c:valAx>
        <c:axId val="12298839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881864"/>
        <c:crosses val="autoZero"/>
        <c:crossBetween val="midCat"/>
        <c:majorUnit val="2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4</xdr:row>
      <xdr:rowOff>114300</xdr:rowOff>
    </xdr:from>
    <xdr:to>
      <xdr:col>11</xdr:col>
      <xdr:colOff>323850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95E8E-D277-AA75-FA43-6C8EBDB3A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0</xdr:row>
      <xdr:rowOff>0</xdr:rowOff>
    </xdr:from>
    <xdr:to>
      <xdr:col>22</xdr:col>
      <xdr:colOff>485775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51D2C-DDC3-D95C-4DF4-FD70A28E0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4.320099305558" createdVersion="8" refreshedVersion="8" minRefreshableVersion="3" recordCount="52" xr:uid="{240FCB30-09C1-4C11-8513-F371F82352AF}">
  <cacheSource type="worksheet">
    <worksheetSource ref="A1:N53" sheet="car inventory (1)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30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296.64799999999997" maxValue="89949.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0MTG001"/>
    <s v="FD"/>
    <s v="Ford"/>
    <s v="MTG"/>
    <s v="Mustang"/>
    <s v="00"/>
    <n v="26"/>
    <n v="40326.800000000003"/>
    <n v="1521.7660377358491"/>
    <s v="Black"/>
    <x v="0"/>
    <n v="50000"/>
    <s v="Covered"/>
    <s v="FD00MTGBLA001"/>
  </r>
  <r>
    <s v="FD26MTG002"/>
    <s v="FD"/>
    <s v="Ford"/>
    <s v="MTG"/>
    <s v="Mustang"/>
    <s v="26"/>
    <n v="0"/>
    <n v="44974.8"/>
    <n v="89949.6"/>
    <s v="White"/>
    <x v="1"/>
    <n v="50000"/>
    <s v="Covered"/>
    <s v="FD26MTGWHI002"/>
  </r>
  <r>
    <s v="FD08MTG003"/>
    <s v="FD"/>
    <s v="Ford"/>
    <s v="MTG"/>
    <s v="Mustang"/>
    <s v="08"/>
    <n v="18"/>
    <n v="44946.5"/>
    <n v="2429.5405405405404"/>
    <s v="Green"/>
    <x v="2"/>
    <n v="50000"/>
    <s v="Covered"/>
    <s v="FD08MTGGRE003"/>
  </r>
  <r>
    <s v="FD08MTG004"/>
    <s v="FD"/>
    <s v="Ford"/>
    <s v="MTG"/>
    <s v="Mustang"/>
    <s v="08"/>
    <n v="18"/>
    <n v="37558.800000000003"/>
    <n v="2030.2054054054056"/>
    <s v="Black"/>
    <x v="3"/>
    <n v="50000"/>
    <s v="Covered"/>
    <s v="FD08MTGBLA004"/>
  </r>
  <r>
    <s v="FD08MTG005"/>
    <s v="FD"/>
    <s v="Ford"/>
    <s v="MTG"/>
    <s v="Mustang"/>
    <s v="08"/>
    <n v="18"/>
    <n v="36438.5"/>
    <n v="1969.6486486486488"/>
    <s v="White"/>
    <x v="0"/>
    <n v="50000"/>
    <s v="Covered"/>
    <s v="FD08MTGWHI005"/>
  </r>
  <r>
    <s v="FD06FCS006"/>
    <s v="FD"/>
    <s v="Ford"/>
    <s v="FCS"/>
    <s v="Focus"/>
    <s v="06"/>
    <n v="20"/>
    <n v="46311.4"/>
    <n v="2259.0926829268292"/>
    <s v="Green"/>
    <x v="4"/>
    <n v="75000"/>
    <s v="Covered"/>
    <s v="FD06FCSGRE006"/>
  </r>
  <r>
    <s v="FD06FCS007"/>
    <s v="FD"/>
    <s v="Ford"/>
    <s v="FCS"/>
    <s v="Focus"/>
    <s v="06"/>
    <n v="20"/>
    <n v="52229.5"/>
    <n v="2547.7804878048782"/>
    <s v="Green"/>
    <x v="2"/>
    <n v="75000"/>
    <s v="Covered"/>
    <s v="FD06FCSGRE007"/>
  </r>
  <r>
    <s v="FD09FCS008"/>
    <s v="FD"/>
    <s v="Ford"/>
    <s v="FCS"/>
    <s v="Focus"/>
    <s v="09"/>
    <n v="17"/>
    <n v="35137"/>
    <n v="2007.8285714285714"/>
    <s v="Black"/>
    <x v="5"/>
    <n v="75000"/>
    <s v="Covered"/>
    <s v="FD09FCSBLA008"/>
  </r>
  <r>
    <s v="FD13FCS009"/>
    <s v="FD"/>
    <s v="Ford"/>
    <s v="FCS"/>
    <s v="Focus"/>
    <s v="13"/>
    <n v="13"/>
    <n v="27637.1"/>
    <n v="2047.1925925925925"/>
    <s v="Black"/>
    <x v="0"/>
    <n v="75000"/>
    <s v="Covered"/>
    <s v="FD13FCSBLA009"/>
  </r>
  <r>
    <s v="FD13FCS010"/>
    <s v="FD"/>
    <s v="Ford"/>
    <s v="FCS"/>
    <s v="Focus"/>
    <s v="13"/>
    <n v="13"/>
    <n v="27534.799999999999"/>
    <n v="2039.6148148148147"/>
    <s v="White"/>
    <x v="6"/>
    <n v="75000"/>
    <s v="Covered"/>
    <s v="FD13FCSWHI010"/>
  </r>
  <r>
    <s v="FD12FCS011"/>
    <s v="FD"/>
    <s v="Ford"/>
    <s v="FCS"/>
    <s v="Focus"/>
    <s v="12"/>
    <n v="14"/>
    <n v="19341.7"/>
    <n v="1333.9103448275862"/>
    <s v="White"/>
    <x v="7"/>
    <n v="75000"/>
    <s v="Covered"/>
    <s v="FD12FCSWHI011"/>
  </r>
  <r>
    <s v="FD13FCS012"/>
    <s v="FD"/>
    <s v="Ford"/>
    <s v="FCS"/>
    <s v="Focus"/>
    <s v="13"/>
    <n v="13"/>
    <n v="22521.599999999999"/>
    <n v="1668.2666666666667"/>
    <s v="Black"/>
    <x v="8"/>
    <n v="75000"/>
    <s v="Covered"/>
    <s v="FD13FCSBLA012"/>
  </r>
  <r>
    <s v="FD13FCS013"/>
    <s v="FD"/>
    <s v="Ford"/>
    <s v="FCS"/>
    <s v="Focus"/>
    <s v="13"/>
    <n v="13"/>
    <n v="13682.9"/>
    <n v="1013.5481481481481"/>
    <s v="Black"/>
    <x v="9"/>
    <n v="75000"/>
    <s v="Covered"/>
    <s v="FD13FCSBLA013"/>
  </r>
  <r>
    <s v="GM09CMR014"/>
    <s v="GM"/>
    <s v="General Motors"/>
    <s v="CMR"/>
    <s v="Camero"/>
    <s v="09"/>
    <n v="17"/>
    <n v="28464.799999999999"/>
    <n v="1626.56"/>
    <s v="White"/>
    <x v="10"/>
    <n v="100000"/>
    <s v="Covered"/>
    <s v="GM09CMRWHI014"/>
  </r>
  <r>
    <s v="GM12CMR015"/>
    <s v="GM"/>
    <s v="General Motors"/>
    <s v="CMR"/>
    <s v="Camero"/>
    <s v="12"/>
    <n v="14"/>
    <n v="19421.099999999999"/>
    <n v="1339.3862068965516"/>
    <s v="Black"/>
    <x v="11"/>
    <n v="100000"/>
    <s v="Covered"/>
    <s v="GM12CMRBLA015"/>
  </r>
  <r>
    <s v="GM14CMR016"/>
    <s v="GM"/>
    <s v="General Motors"/>
    <s v="CMR"/>
    <s v="Camero"/>
    <s v="14"/>
    <n v="12"/>
    <n v="14289.6"/>
    <n v="1143.1680000000001"/>
    <s v="White"/>
    <x v="12"/>
    <n v="100000"/>
    <s v="Covered"/>
    <s v="GM14CMRWHI016"/>
  </r>
  <r>
    <s v="GM10SLV017"/>
    <s v="GM"/>
    <s v="General Motors"/>
    <s v="SLV"/>
    <s v="silverado"/>
    <s v="10"/>
    <n v="16"/>
    <n v="31144.400000000001"/>
    <n v="1887.5393939393941"/>
    <s v="Black"/>
    <x v="13"/>
    <n v="100000"/>
    <s v="Covered"/>
    <s v="GM10SLVBLA017"/>
  </r>
  <r>
    <s v="GM98SLV018"/>
    <s v="GM"/>
    <s v="General Motors"/>
    <s v="SLV"/>
    <s v="silverado"/>
    <s v="98"/>
    <n v="28"/>
    <n v="83162.7"/>
    <n v="2917.9894736842102"/>
    <s v="Black"/>
    <x v="10"/>
    <n v="100000"/>
    <s v="Covered"/>
    <s v="GM98SLVBLA018"/>
  </r>
  <r>
    <s v="GM00SLV019"/>
    <s v="GM"/>
    <s v="General Motors"/>
    <s v="SLV"/>
    <s v="silverado"/>
    <s v="00"/>
    <n v="26"/>
    <n v="80685.8"/>
    <n v="3044.7471698113209"/>
    <s v="Blue"/>
    <x v="8"/>
    <n v="100000"/>
    <s v="Covered"/>
    <s v="GM00SLVBLU019"/>
  </r>
  <r>
    <s v="TY96CAM020"/>
    <s v="TY"/>
    <s v="Toyota"/>
    <s v="CAM"/>
    <s v="Camry"/>
    <s v="96"/>
    <n v="30"/>
    <n v="114660.6"/>
    <n v="3759.3639344262297"/>
    <s v="Green"/>
    <x v="14"/>
    <n v="100000"/>
    <s v="Not Covered"/>
    <s v="TY96CAMGRE020"/>
  </r>
  <r>
    <s v="TY98CAM021"/>
    <s v="TY"/>
    <s v="Toyota"/>
    <s v="CAM"/>
    <s v="Camry"/>
    <s v="98"/>
    <n v="28"/>
    <n v="93382.6"/>
    <n v="3276.582456140351"/>
    <s v="Black"/>
    <x v="15"/>
    <n v="100000"/>
    <s v="Covered"/>
    <s v="TY98CAMBLA021"/>
  </r>
  <r>
    <s v="TY00CAM022"/>
    <s v="TY"/>
    <s v="Toyota"/>
    <s v="CAM"/>
    <s v="Camry"/>
    <s v="00"/>
    <n v="26"/>
    <n v="85928"/>
    <n v="3242.566037735849"/>
    <s v="Green"/>
    <x v="4"/>
    <n v="100000"/>
    <s v="Covered"/>
    <s v="TY00CAMGRE022"/>
  </r>
  <r>
    <s v="TY02CAM023"/>
    <s v="TY"/>
    <s v="Toyota"/>
    <s v="CAM"/>
    <s v="Camry"/>
    <s v="02"/>
    <n v="24"/>
    <n v="67829.100000000006"/>
    <n v="2768.534693877551"/>
    <s v="Black"/>
    <x v="0"/>
    <n v="100000"/>
    <s v="Covered"/>
    <s v="TY02CAMBLA023"/>
  </r>
  <r>
    <s v="TY09CAM024"/>
    <s v="TY"/>
    <s v="Toyota"/>
    <s v="CAM"/>
    <s v="Camry"/>
    <s v="09"/>
    <n v="17"/>
    <n v="48114.2"/>
    <n v="2749.3828571428571"/>
    <s v="White"/>
    <x v="5"/>
    <n v="100000"/>
    <s v="Covered"/>
    <s v="TY09CAMWHI024"/>
  </r>
  <r>
    <s v="TY02COR025"/>
    <s v="TY"/>
    <s v="Toyota"/>
    <s v="COR"/>
    <s v="Corolla"/>
    <s v="02"/>
    <n v="24"/>
    <n v="64467.4"/>
    <n v="2631.3224489795921"/>
    <s v="Red"/>
    <x v="16"/>
    <n v="100000"/>
    <s v="Covered"/>
    <s v="TY02CORRED025"/>
  </r>
  <r>
    <s v="TY03COR026"/>
    <s v="TY"/>
    <s v="Toyota"/>
    <s v="COR"/>
    <s v="Corolla"/>
    <s v="03"/>
    <n v="23"/>
    <n v="73444.399999999994"/>
    <n v="3125.2936170212765"/>
    <s v="Black"/>
    <x v="16"/>
    <n v="100000"/>
    <s v="Covered"/>
    <s v="TY03CORBLA026"/>
  </r>
  <r>
    <s v="TY14COR027"/>
    <s v="TY"/>
    <s v="Toyota"/>
    <s v="COR"/>
    <s v="Corolla"/>
    <s v="14"/>
    <n v="12"/>
    <n v="17556.3"/>
    <n v="1404.5039999999999"/>
    <s v="Blue"/>
    <x v="6"/>
    <n v="100000"/>
    <s v="Covered"/>
    <s v="TY14CORBLU027"/>
  </r>
  <r>
    <s v="TY12COR028"/>
    <s v="TY"/>
    <s v="Toyota"/>
    <s v="COR"/>
    <s v="Corolla"/>
    <s v="12"/>
    <n v="14"/>
    <n v="29601.9"/>
    <n v="2041.5103448275863"/>
    <s v="Black"/>
    <x v="10"/>
    <n v="100000"/>
    <s v="Covered"/>
    <s v="TY12CORBLA028"/>
  </r>
  <r>
    <s v="TY12CAM029"/>
    <s v="TY"/>
    <s v="Toyota"/>
    <s v="CAM"/>
    <s v="Camry"/>
    <s v="12"/>
    <n v="14"/>
    <n v="22128.2"/>
    <n v="1526.0827586206897"/>
    <s v="Blue"/>
    <x v="14"/>
    <n v="100000"/>
    <s v="Covered"/>
    <s v="TY12CAMBLU029"/>
  </r>
  <r>
    <s v="HO99CIV030"/>
    <s v="HO"/>
    <s v="Honda"/>
    <s v="CIV"/>
    <s v="Civic"/>
    <s v="99"/>
    <n v="27"/>
    <n v="82374"/>
    <n v="2995.4181818181819"/>
    <s v="White"/>
    <x v="9"/>
    <n v="75000"/>
    <s v="Not Covered"/>
    <s v="HO99CIVWHI030"/>
  </r>
  <r>
    <s v="HO01CIV031"/>
    <s v="HO"/>
    <s v="Honda"/>
    <s v="CIV"/>
    <s v="Civic"/>
    <s v="01"/>
    <n v="25"/>
    <n v="69891.899999999994"/>
    <n v="2740.8588235294114"/>
    <s v="Blue"/>
    <x v="3"/>
    <n v="75000"/>
    <s v="Covered"/>
    <s v="HO01CIVBLU031"/>
  </r>
  <r>
    <s v="HO10CIV032"/>
    <s v="HO"/>
    <s v="Honda"/>
    <s v="CIV"/>
    <s v="Civic"/>
    <s v="10"/>
    <n v="16"/>
    <n v="22573"/>
    <n v="1368.060606060606"/>
    <s v="Blue"/>
    <x v="12"/>
    <n v="75000"/>
    <s v="Covered"/>
    <s v="HO10CIVBLU032"/>
  </r>
  <r>
    <s v="HO10CIV033"/>
    <s v="HO"/>
    <s v="Honda"/>
    <s v="CIV"/>
    <s v="Civic"/>
    <s v="10"/>
    <n v="16"/>
    <n v="33477.199999999997"/>
    <n v="2028.921212121212"/>
    <s v="Black"/>
    <x v="15"/>
    <n v="75000"/>
    <s v="Covered"/>
    <s v="HO10CIVBLA033"/>
  </r>
  <r>
    <s v="HO11CIV034"/>
    <s v="HO"/>
    <s v="Honda"/>
    <s v="CIV"/>
    <s v="Civic"/>
    <s v="11"/>
    <n v="15"/>
    <n v="30555.3"/>
    <n v="1971.3096774193548"/>
    <s v="Black"/>
    <x v="2"/>
    <n v="75000"/>
    <s v="Covered"/>
    <s v="HO11CIVBLA034"/>
  </r>
  <r>
    <s v="HO12CIV035"/>
    <s v="HO"/>
    <s v="Honda"/>
    <s v="CIV"/>
    <s v="Civic"/>
    <s v="12"/>
    <n v="14"/>
    <n v="24513.200000000001"/>
    <n v="1690.5655172413794"/>
    <s v="Black"/>
    <x v="13"/>
    <n v="75000"/>
    <s v="Covered"/>
    <s v="HO12CIVBLA035"/>
  </r>
  <r>
    <s v="HO13CIV036"/>
    <s v="HO"/>
    <s v="Honda"/>
    <s v="CIV"/>
    <s v="Civic"/>
    <s v="13"/>
    <n v="13"/>
    <n v="13867.6"/>
    <n v="1027.2296296296297"/>
    <s v="Black"/>
    <x v="14"/>
    <n v="75000"/>
    <s v="Covered"/>
    <s v="HO13CIVBLA036"/>
  </r>
  <r>
    <s v="HO05ODY037"/>
    <s v="HO"/>
    <s v="Honda"/>
    <s v="ODY"/>
    <s v="Odyssey"/>
    <s v="05"/>
    <n v="21"/>
    <n v="60389.5"/>
    <n v="2808.8139534883721"/>
    <s v="White"/>
    <x v="5"/>
    <n v="100000"/>
    <s v="Covered"/>
    <s v="HO05ODYWHI037"/>
  </r>
  <r>
    <s v="HO07ODY038"/>
    <s v="HO"/>
    <s v="Honda"/>
    <s v="ODY"/>
    <s v="Odyssey"/>
    <s v="07"/>
    <n v="19"/>
    <n v="50854.1"/>
    <n v="2607.9025641025642"/>
    <s v="Black"/>
    <x v="15"/>
    <n v="100000"/>
    <s v="Covered"/>
    <s v="HO07ODYBLA038"/>
  </r>
  <r>
    <s v="HO08ODY039"/>
    <s v="HO"/>
    <s v="Honda"/>
    <s v="ODY"/>
    <s v="Odyssey"/>
    <s v="08"/>
    <n v="18"/>
    <n v="42504.6"/>
    <n v="2297.5459459459457"/>
    <s v="White"/>
    <x v="9"/>
    <n v="100000"/>
    <s v="Covered"/>
    <s v="HO08ODYWHI039"/>
  </r>
  <r>
    <s v="HO01ODY040"/>
    <s v="HO"/>
    <s v="Honda"/>
    <s v="ODY"/>
    <s v="Odyssey"/>
    <s v="01"/>
    <n v="25"/>
    <n v="68658.899999999994"/>
    <n v="2692.5058823529412"/>
    <s v="Black"/>
    <x v="0"/>
    <n v="100000"/>
    <s v="Covered"/>
    <s v="HO01ODYBLA040"/>
  </r>
  <r>
    <s v="HO14ODY041"/>
    <s v="HO"/>
    <s v="Honda"/>
    <s v="ODY"/>
    <s v="Odyssey"/>
    <s v="14"/>
    <n v="12"/>
    <n v="3708.1"/>
    <n v="296.64799999999997"/>
    <s v="Black"/>
    <x v="1"/>
    <n v="100000"/>
    <s v="Covered"/>
    <s v="HO14ODYBLA041"/>
  </r>
  <r>
    <s v="CR04PTC042"/>
    <s v="CR"/>
    <s v="Chrysler"/>
    <s v="PTC"/>
    <s v="PT Cruiser"/>
    <s v="04"/>
    <n v="22"/>
    <n v="64542"/>
    <n v="2868.5333333333333"/>
    <s v="Blue"/>
    <x v="0"/>
    <n v="75000"/>
    <s v="Covered"/>
    <s v="CR04PTCBLU042"/>
  </r>
  <r>
    <s v="CR07PTC043"/>
    <s v="CR"/>
    <s v="Chrysler"/>
    <s v="PTC"/>
    <s v="PT Cruiser"/>
    <s v="07"/>
    <n v="19"/>
    <n v="42074.2"/>
    <n v="2157.6512820512821"/>
    <s v="Green"/>
    <x v="16"/>
    <n v="75000"/>
    <s v="Covered"/>
    <s v="CR07PTCGRE043"/>
  </r>
  <r>
    <s v="CR11PTC044"/>
    <s v="CR"/>
    <s v="Chrysler"/>
    <s v="PTC"/>
    <s v="PT Cruiser"/>
    <s v="11"/>
    <n v="15"/>
    <n v="27394.2"/>
    <n v="1767.367741935484"/>
    <s v="Black"/>
    <x v="8"/>
    <n v="75000"/>
    <s v="Covered"/>
    <s v="CR11PTCBLA044"/>
  </r>
  <r>
    <s v="CR99CAR045"/>
    <s v="CR"/>
    <s v="Chrysler"/>
    <s v="CAR"/>
    <s v="Caravan"/>
    <s v="99"/>
    <n v="27"/>
    <n v="79420.600000000006"/>
    <n v="2888.0218181818186"/>
    <s v="Green"/>
    <x v="13"/>
    <n v="75000"/>
    <s v="Not Covered"/>
    <s v="CR99CARGRE045"/>
  </r>
  <r>
    <s v="CR00CAR046"/>
    <s v="CR"/>
    <s v="Chrysler"/>
    <s v="CAR"/>
    <s v="Caravan"/>
    <s v="00"/>
    <n v="26"/>
    <n v="77243.100000000006"/>
    <n v="2914.8339622641511"/>
    <s v="Black"/>
    <x v="3"/>
    <n v="75000"/>
    <s v="Not Covered"/>
    <s v="CR00CARBLA046"/>
  </r>
  <r>
    <s v="CR04CAR047"/>
    <s v="CR"/>
    <s v="Chrysler"/>
    <s v="CAR"/>
    <s v="Caravan"/>
    <s v="04"/>
    <n v="22"/>
    <n v="72527.199999999997"/>
    <n v="3223.431111111111"/>
    <s v="White"/>
    <x v="11"/>
    <n v="75000"/>
    <s v="Covered"/>
    <s v="CR04CARWHI047"/>
  </r>
  <r>
    <s v="CR04CAR048"/>
    <s v="CR"/>
    <s v="Chrysler"/>
    <s v="CAR"/>
    <s v="Caravan"/>
    <s v="04"/>
    <n v="22"/>
    <n v="52699.4"/>
    <n v="2342.1955555555555"/>
    <s v="Red"/>
    <x v="11"/>
    <n v="75000"/>
    <s v="Covered"/>
    <s v="CR04CARRED048"/>
  </r>
  <r>
    <s v="HY11ELA049"/>
    <s v="HY"/>
    <s v="Hyundai"/>
    <s v="ELA"/>
    <s v="Elantra"/>
    <s v="11"/>
    <n v="15"/>
    <n v="29102.3"/>
    <n v="1877.5677419354838"/>
    <s v="Black"/>
    <x v="12"/>
    <n v="100000"/>
    <s v="Covered"/>
    <s v="HY11ELABLA049"/>
  </r>
  <r>
    <s v="HY12ELA050"/>
    <s v="HY"/>
    <s v="Hyundai"/>
    <s v="ELA"/>
    <s v="Elantra"/>
    <s v="12"/>
    <n v="14"/>
    <n v="22282"/>
    <n v="1536.6896551724137"/>
    <s v="Blue"/>
    <x v="1"/>
    <n v="100000"/>
    <s v="Covered"/>
    <s v="HY12ELABLU050"/>
  </r>
  <r>
    <s v="HY13ELA051"/>
    <s v="HY"/>
    <s v="Hyundai"/>
    <s v="ELA"/>
    <s v="Elantra"/>
    <s v="13"/>
    <n v="13"/>
    <n v="20223.900000000001"/>
    <n v="1498.0666666666668"/>
    <s v="Black"/>
    <x v="6"/>
    <n v="100000"/>
    <s v="Covered"/>
    <s v="HY13ELABLA051"/>
  </r>
  <r>
    <s v="HY13ELA052"/>
    <s v="HY"/>
    <s v="Hyundai"/>
    <s v="ELA"/>
    <s v="Elantra"/>
    <s v="13"/>
    <n v="13"/>
    <n v="22188.5"/>
    <n v="1643.5925925925926"/>
    <s v="Blue"/>
    <x v="4"/>
    <n v="100000"/>
    <s v="Covered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DD84D-9DEE-4A03-B5CF-AE3527A2B54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21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axis="axisRow" compact="0" outline="0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 numFmtId="164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706E-A861-4B9A-BA5D-8C295599E2F9}">
  <dimension ref="A3:B41"/>
  <sheetViews>
    <sheetView workbookViewId="0">
      <selection activeCell="A4" sqref="A4:B20"/>
    </sheetView>
  </sheetViews>
  <sheetFormatPr defaultRowHeight="14.4" x14ac:dyDescent="0.3"/>
  <cols>
    <col min="1" max="1" width="11.109375" bestFit="1" customWidth="1"/>
    <col min="2" max="2" width="13.109375" bestFit="1" customWidth="1"/>
  </cols>
  <sheetData>
    <row r="3" spans="1:2" x14ac:dyDescent="0.3">
      <c r="A3" s="4" t="s">
        <v>0</v>
      </c>
      <c r="B3" t="s">
        <v>1</v>
      </c>
    </row>
    <row r="4" spans="1:2" x14ac:dyDescent="0.3">
      <c r="A4" t="s">
        <v>2</v>
      </c>
      <c r="B4" s="5">
        <v>144647.69999999998</v>
      </c>
    </row>
    <row r="5" spans="1:2" x14ac:dyDescent="0.3">
      <c r="A5" t="s">
        <v>3</v>
      </c>
      <c r="B5" s="5">
        <v>150656.40000000002</v>
      </c>
    </row>
    <row r="6" spans="1:2" x14ac:dyDescent="0.3">
      <c r="A6" t="s">
        <v>4</v>
      </c>
      <c r="B6" s="5">
        <v>154427.9</v>
      </c>
    </row>
    <row r="7" spans="1:2" x14ac:dyDescent="0.3">
      <c r="A7" t="s">
        <v>5</v>
      </c>
      <c r="B7" s="5">
        <v>179986</v>
      </c>
    </row>
    <row r="8" spans="1:2" x14ac:dyDescent="0.3">
      <c r="A8" t="s">
        <v>6</v>
      </c>
      <c r="B8" s="5">
        <v>143640.70000000001</v>
      </c>
    </row>
    <row r="9" spans="1:2" x14ac:dyDescent="0.3">
      <c r="A9" t="s">
        <v>7</v>
      </c>
      <c r="B9" s="5">
        <v>135078.20000000001</v>
      </c>
    </row>
    <row r="10" spans="1:2" x14ac:dyDescent="0.3">
      <c r="A10" t="s">
        <v>8</v>
      </c>
      <c r="B10" s="5">
        <v>184693.8</v>
      </c>
    </row>
    <row r="11" spans="1:2" x14ac:dyDescent="0.3">
      <c r="A11" t="s">
        <v>9</v>
      </c>
      <c r="B11" s="5">
        <v>127731.3</v>
      </c>
    </row>
    <row r="12" spans="1:2" x14ac:dyDescent="0.3">
      <c r="A12" t="s">
        <v>10</v>
      </c>
      <c r="B12" s="5">
        <v>70964.899999999994</v>
      </c>
    </row>
    <row r="13" spans="1:2" x14ac:dyDescent="0.3">
      <c r="A13" t="s">
        <v>11</v>
      </c>
      <c r="B13" s="5">
        <v>65315</v>
      </c>
    </row>
    <row r="14" spans="1:2" x14ac:dyDescent="0.3">
      <c r="A14" t="s">
        <v>12</v>
      </c>
      <c r="B14" s="5">
        <v>138561.5</v>
      </c>
    </row>
    <row r="15" spans="1:2" x14ac:dyDescent="0.3">
      <c r="A15" t="s">
        <v>13</v>
      </c>
      <c r="B15" s="5">
        <v>141229.4</v>
      </c>
    </row>
    <row r="16" spans="1:2" x14ac:dyDescent="0.3">
      <c r="A16" t="s">
        <v>14</v>
      </c>
      <c r="B16" s="5">
        <v>305432.40000000002</v>
      </c>
    </row>
    <row r="17" spans="1:2" x14ac:dyDescent="0.3">
      <c r="A17" t="s">
        <v>15</v>
      </c>
      <c r="B17" s="5">
        <v>177713.9</v>
      </c>
    </row>
    <row r="18" spans="1:2" x14ac:dyDescent="0.3">
      <c r="A18" t="s">
        <v>16</v>
      </c>
      <c r="B18" s="5">
        <v>65964.899999999994</v>
      </c>
    </row>
    <row r="19" spans="1:2" x14ac:dyDescent="0.3">
      <c r="A19" t="s">
        <v>17</v>
      </c>
      <c r="B19" s="5">
        <v>130601.59999999999</v>
      </c>
    </row>
    <row r="20" spans="1:2" x14ac:dyDescent="0.3">
      <c r="A20" t="s">
        <v>18</v>
      </c>
      <c r="B20" s="5">
        <v>19341.7</v>
      </c>
    </row>
    <row r="21" spans="1:2" x14ac:dyDescent="0.3">
      <c r="A21" t="s">
        <v>19</v>
      </c>
      <c r="B21" s="5">
        <v>2335987.2999999998</v>
      </c>
    </row>
    <row r="22" spans="1:2" x14ac:dyDescent="0.3">
      <c r="B22" s="5"/>
    </row>
    <row r="23" spans="1:2" x14ac:dyDescent="0.3">
      <c r="B23" s="5"/>
    </row>
    <row r="24" spans="1:2" x14ac:dyDescent="0.3">
      <c r="B24" s="5"/>
    </row>
    <row r="25" spans="1:2" x14ac:dyDescent="0.3">
      <c r="B25" s="5"/>
    </row>
    <row r="26" spans="1:2" x14ac:dyDescent="0.3">
      <c r="B26" s="5"/>
    </row>
    <row r="27" spans="1:2" x14ac:dyDescent="0.3">
      <c r="B27" s="5"/>
    </row>
    <row r="28" spans="1:2" x14ac:dyDescent="0.3">
      <c r="B28" s="5"/>
    </row>
    <row r="29" spans="1:2" x14ac:dyDescent="0.3">
      <c r="B29" s="5"/>
    </row>
    <row r="30" spans="1:2" x14ac:dyDescent="0.3">
      <c r="B30" s="5"/>
    </row>
    <row r="31" spans="1:2" x14ac:dyDescent="0.3">
      <c r="B31" s="5"/>
    </row>
    <row r="32" spans="1:2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C6A4-EE42-481A-8F5D-A2AA64E20A2C}">
  <dimension ref="A1:N66"/>
  <sheetViews>
    <sheetView tabSelected="1" topLeftCell="A42" zoomScale="75" zoomScaleNormal="115" workbookViewId="0">
      <selection activeCell="C45" sqref="C45"/>
    </sheetView>
  </sheetViews>
  <sheetFormatPr defaultRowHeight="14.4" x14ac:dyDescent="0.3"/>
  <cols>
    <col min="1" max="1" width="13" bestFit="1" customWidth="1"/>
    <col min="2" max="2" width="11.33203125" customWidth="1"/>
    <col min="3" max="3" width="16.6640625" customWidth="1"/>
    <col min="4" max="4" width="11.109375" customWidth="1"/>
    <col min="5" max="5" width="16.5546875" bestFit="1" customWidth="1"/>
    <col min="6" max="6" width="15.88671875" bestFit="1" customWidth="1"/>
    <col min="7" max="7" width="8" bestFit="1" customWidth="1"/>
    <col min="8" max="8" width="12.6640625" bestFit="1" customWidth="1"/>
    <col min="9" max="9" width="11.77734375" bestFit="1" customWidth="1"/>
    <col min="10" max="10" width="8.88671875" customWidth="1"/>
    <col min="11" max="11" width="10.77734375" bestFit="1" customWidth="1"/>
    <col min="12" max="12" width="15.44140625" bestFit="1" customWidth="1"/>
    <col min="13" max="13" width="12.88671875" bestFit="1" customWidth="1"/>
    <col min="14" max="14" width="19.109375" bestFit="1" customWidth="1"/>
  </cols>
  <sheetData>
    <row r="1" spans="1:14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0</v>
      </c>
      <c r="L1" t="s">
        <v>30</v>
      </c>
      <c r="M1" t="s">
        <v>31</v>
      </c>
      <c r="N1" t="s">
        <v>32</v>
      </c>
    </row>
    <row r="2" spans="1:14" x14ac:dyDescent="0.3">
      <c r="A2" t="s">
        <v>33</v>
      </c>
      <c r="B2" t="str">
        <f t="shared" ref="B2:B33" si="0">LEFT(A2,2)</f>
        <v>FD</v>
      </c>
      <c r="C2" t="str">
        <f t="shared" ref="C2:C33" si="1">VLOOKUP(B2,B$56:C$61,2)</f>
        <v>Ford</v>
      </c>
      <c r="D2" t="str">
        <f t="shared" ref="D2:D33" si="2">MID(A2,5,3)</f>
        <v>MTG</v>
      </c>
      <c r="E2" t="str">
        <f>VLOOKUP(D2,E$56:F66,2)</f>
        <v>Mustang</v>
      </c>
      <c r="F2" t="str">
        <f t="shared" ref="F2:F33" si="3">MID(A2,3,2)</f>
        <v>19</v>
      </c>
      <c r="G2">
        <f t="shared" ref="G2:G33" si="4">IF(26-F2&lt;0,100-F2+26,26-F2)</f>
        <v>7</v>
      </c>
      <c r="H2" s="3">
        <v>44974.8</v>
      </c>
      <c r="I2" s="3">
        <f t="shared" ref="I2:I33" si="5">H2/(G2+0.5)</f>
        <v>5996.64</v>
      </c>
      <c r="J2" t="s">
        <v>34</v>
      </c>
      <c r="K2" t="s">
        <v>10</v>
      </c>
      <c r="L2">
        <v>50000</v>
      </c>
      <c r="M2" t="str">
        <f t="shared" ref="M2:M33" si="6">IF(H2&lt;=L2,"Covered","Not Covered")</f>
        <v>Covered</v>
      </c>
      <c r="N2" t="str">
        <f t="shared" ref="N2:N33" si="7">CONCATENATE(B2,F2,D2,UPPER(LEFT(J2,3)),RIGHT(A2,3))</f>
        <v>FD19MTGWHI002</v>
      </c>
    </row>
    <row r="3" spans="1:14" x14ac:dyDescent="0.3">
      <c r="A3" t="s">
        <v>35</v>
      </c>
      <c r="B3" t="str">
        <f t="shared" si="0"/>
        <v>TY</v>
      </c>
      <c r="C3" t="str">
        <f t="shared" si="1"/>
        <v>Toyota</v>
      </c>
      <c r="D3" t="str">
        <f t="shared" si="2"/>
        <v>CAM</v>
      </c>
      <c r="E3" t="str">
        <f>VLOOKUP(D3,E$56:F67,2)</f>
        <v>Camry</v>
      </c>
      <c r="F3" t="str">
        <f t="shared" si="3"/>
        <v>96</v>
      </c>
      <c r="G3">
        <f t="shared" si="4"/>
        <v>30</v>
      </c>
      <c r="H3" s="3">
        <v>114660.6</v>
      </c>
      <c r="I3" s="3">
        <f t="shared" si="5"/>
        <v>3759.3639344262297</v>
      </c>
      <c r="J3" t="s">
        <v>36</v>
      </c>
      <c r="K3" t="s">
        <v>3</v>
      </c>
      <c r="L3">
        <v>100000</v>
      </c>
      <c r="M3" t="str">
        <f t="shared" si="6"/>
        <v>Not Covered</v>
      </c>
      <c r="N3" t="str">
        <f t="shared" si="7"/>
        <v>TY96CAMGRE020</v>
      </c>
    </row>
    <row r="4" spans="1:14" x14ac:dyDescent="0.3">
      <c r="A4" t="s">
        <v>37</v>
      </c>
      <c r="B4" t="str">
        <f t="shared" si="0"/>
        <v>TY</v>
      </c>
      <c r="C4" t="str">
        <f t="shared" si="1"/>
        <v>Toyota</v>
      </c>
      <c r="D4" t="str">
        <f t="shared" si="2"/>
        <v>CAM</v>
      </c>
      <c r="E4" t="str">
        <f>VLOOKUP(D4,E$56:F68,2)</f>
        <v>Camry</v>
      </c>
      <c r="F4" t="str">
        <f t="shared" si="3"/>
        <v>98</v>
      </c>
      <c r="G4">
        <f t="shared" si="4"/>
        <v>28</v>
      </c>
      <c r="H4" s="3">
        <v>93382.6</v>
      </c>
      <c r="I4" s="3">
        <f t="shared" si="5"/>
        <v>3276.582456140351</v>
      </c>
      <c r="J4" t="s">
        <v>38</v>
      </c>
      <c r="K4" t="s">
        <v>15</v>
      </c>
      <c r="L4">
        <v>100000</v>
      </c>
      <c r="M4" t="str">
        <f t="shared" si="6"/>
        <v>Covered</v>
      </c>
      <c r="N4" t="str">
        <f t="shared" si="7"/>
        <v>TY98CAMBLA021</v>
      </c>
    </row>
    <row r="5" spans="1:14" x14ac:dyDescent="0.3">
      <c r="A5" t="s">
        <v>39</v>
      </c>
      <c r="B5" t="str">
        <f t="shared" si="0"/>
        <v>TY</v>
      </c>
      <c r="C5" t="str">
        <f t="shared" si="1"/>
        <v>Toyota</v>
      </c>
      <c r="D5" t="str">
        <f t="shared" si="2"/>
        <v>CAM</v>
      </c>
      <c r="E5" t="str">
        <f>VLOOKUP(D5,E$56:F69,2)</f>
        <v>Camry</v>
      </c>
      <c r="F5" t="str">
        <f t="shared" si="3"/>
        <v>00</v>
      </c>
      <c r="G5">
        <f t="shared" si="4"/>
        <v>26</v>
      </c>
      <c r="H5" s="3">
        <v>85928</v>
      </c>
      <c r="I5" s="3">
        <f t="shared" si="5"/>
        <v>3242.566037735849</v>
      </c>
      <c r="J5" t="s">
        <v>36</v>
      </c>
      <c r="K5" t="s">
        <v>4</v>
      </c>
      <c r="L5">
        <v>100000</v>
      </c>
      <c r="M5" t="str">
        <f t="shared" si="6"/>
        <v>Covered</v>
      </c>
      <c r="N5" t="str">
        <f t="shared" si="7"/>
        <v>TY00CAMGRE022</v>
      </c>
    </row>
    <row r="6" spans="1:14" x14ac:dyDescent="0.3">
      <c r="A6" t="s">
        <v>40</v>
      </c>
      <c r="B6" t="str">
        <f t="shared" si="0"/>
        <v>CR</v>
      </c>
      <c r="C6" t="str">
        <f t="shared" si="1"/>
        <v>Chrysler</v>
      </c>
      <c r="D6" t="str">
        <f t="shared" si="2"/>
        <v>CAR</v>
      </c>
      <c r="E6" t="str">
        <f>VLOOKUP(D6,E$56:F70,2)</f>
        <v>Caravan</v>
      </c>
      <c r="F6" t="str">
        <f t="shared" si="3"/>
        <v>04</v>
      </c>
      <c r="G6">
        <f t="shared" si="4"/>
        <v>22</v>
      </c>
      <c r="H6" s="3">
        <v>72527.199999999997</v>
      </c>
      <c r="I6" s="3">
        <f t="shared" si="5"/>
        <v>3223.431111111111</v>
      </c>
      <c r="J6" t="s">
        <v>34</v>
      </c>
      <c r="K6" t="s">
        <v>2</v>
      </c>
      <c r="L6">
        <v>75000</v>
      </c>
      <c r="M6" t="str">
        <f t="shared" si="6"/>
        <v>Covered</v>
      </c>
      <c r="N6" t="str">
        <f t="shared" si="7"/>
        <v>CR04CARWHI047</v>
      </c>
    </row>
    <row r="7" spans="1:14" x14ac:dyDescent="0.3">
      <c r="A7" t="s">
        <v>41</v>
      </c>
      <c r="B7" t="str">
        <f t="shared" si="0"/>
        <v>TY</v>
      </c>
      <c r="C7" t="str">
        <f t="shared" si="1"/>
        <v>Toyota</v>
      </c>
      <c r="D7" t="str">
        <f t="shared" si="2"/>
        <v>COR</v>
      </c>
      <c r="E7" t="str">
        <f>VLOOKUP(D7,E$56:F71,2)</f>
        <v>Corolla</v>
      </c>
      <c r="F7" t="str">
        <f t="shared" si="3"/>
        <v>03</v>
      </c>
      <c r="G7">
        <f t="shared" si="4"/>
        <v>23</v>
      </c>
      <c r="H7" s="3">
        <v>73444.399999999994</v>
      </c>
      <c r="I7" s="3">
        <f t="shared" si="5"/>
        <v>3125.2936170212765</v>
      </c>
      <c r="J7" t="s">
        <v>38</v>
      </c>
      <c r="K7" t="s">
        <v>5</v>
      </c>
      <c r="L7">
        <v>100000</v>
      </c>
      <c r="M7" t="str">
        <f t="shared" si="6"/>
        <v>Covered</v>
      </c>
      <c r="N7" t="str">
        <f t="shared" si="7"/>
        <v>TY03CORBLA026</v>
      </c>
    </row>
    <row r="8" spans="1:14" x14ac:dyDescent="0.3">
      <c r="A8" t="s">
        <v>42</v>
      </c>
      <c r="B8" t="str">
        <f t="shared" si="0"/>
        <v>GM</v>
      </c>
      <c r="C8" t="str">
        <f t="shared" si="1"/>
        <v>General Motors</v>
      </c>
      <c r="D8" t="str">
        <f t="shared" si="2"/>
        <v>SLV</v>
      </c>
      <c r="E8" t="str">
        <f>VLOOKUP(D8,E$56:F72,2)</f>
        <v>silverado</v>
      </c>
      <c r="F8" t="str">
        <f t="shared" si="3"/>
        <v>00</v>
      </c>
      <c r="G8">
        <f t="shared" si="4"/>
        <v>26</v>
      </c>
      <c r="H8" s="3">
        <v>80685.8</v>
      </c>
      <c r="I8" s="3">
        <f t="shared" si="5"/>
        <v>3044.7471698113209</v>
      </c>
      <c r="J8" t="s">
        <v>43</v>
      </c>
      <c r="K8" t="s">
        <v>17</v>
      </c>
      <c r="L8">
        <v>100000</v>
      </c>
      <c r="M8" t="str">
        <f t="shared" si="6"/>
        <v>Covered</v>
      </c>
      <c r="N8" t="str">
        <f t="shared" si="7"/>
        <v>GM00SLVBLU019</v>
      </c>
    </row>
    <row r="9" spans="1:14" x14ac:dyDescent="0.3">
      <c r="A9" t="s">
        <v>44</v>
      </c>
      <c r="B9" t="str">
        <f t="shared" si="0"/>
        <v>HO</v>
      </c>
      <c r="C9" t="str">
        <f t="shared" si="1"/>
        <v>Honda</v>
      </c>
      <c r="D9" t="str">
        <f t="shared" si="2"/>
        <v>CIV</v>
      </c>
      <c r="E9" t="str">
        <f>VLOOKUP(D9,E$56:F73,2)</f>
        <v>Civic</v>
      </c>
      <c r="F9" t="str">
        <f t="shared" si="3"/>
        <v>99</v>
      </c>
      <c r="G9">
        <f t="shared" si="4"/>
        <v>27</v>
      </c>
      <c r="H9" s="3">
        <v>82374</v>
      </c>
      <c r="I9" s="3">
        <f t="shared" si="5"/>
        <v>2995.4181818181819</v>
      </c>
      <c r="J9" t="s">
        <v>34</v>
      </c>
      <c r="K9" t="s">
        <v>12</v>
      </c>
      <c r="L9">
        <v>75000</v>
      </c>
      <c r="M9" t="str">
        <f t="shared" si="6"/>
        <v>Not Covered</v>
      </c>
      <c r="N9" t="str">
        <f t="shared" si="7"/>
        <v>HO99CIVWHI030</v>
      </c>
    </row>
    <row r="10" spans="1:14" x14ac:dyDescent="0.3">
      <c r="A10" t="s">
        <v>45</v>
      </c>
      <c r="B10" t="str">
        <f t="shared" si="0"/>
        <v>GM</v>
      </c>
      <c r="C10" t="str">
        <f t="shared" si="1"/>
        <v>General Motors</v>
      </c>
      <c r="D10" t="str">
        <f t="shared" si="2"/>
        <v>SLV</v>
      </c>
      <c r="E10" t="str">
        <f>VLOOKUP(D10,E$56:F74,2)</f>
        <v>silverado</v>
      </c>
      <c r="F10" t="str">
        <f t="shared" si="3"/>
        <v>98</v>
      </c>
      <c r="G10">
        <f t="shared" si="4"/>
        <v>28</v>
      </c>
      <c r="H10" s="3">
        <v>83162.7</v>
      </c>
      <c r="I10" s="3">
        <f t="shared" si="5"/>
        <v>2917.9894736842102</v>
      </c>
      <c r="J10" t="s">
        <v>38</v>
      </c>
      <c r="K10" t="s">
        <v>13</v>
      </c>
      <c r="L10">
        <v>100000</v>
      </c>
      <c r="M10" t="str">
        <f t="shared" si="6"/>
        <v>Covered</v>
      </c>
      <c r="N10" t="str">
        <f t="shared" si="7"/>
        <v>GM98SLVBLA018</v>
      </c>
    </row>
    <row r="11" spans="1:14" x14ac:dyDescent="0.3">
      <c r="A11" t="s">
        <v>46</v>
      </c>
      <c r="B11" t="str">
        <f t="shared" si="0"/>
        <v>CR</v>
      </c>
      <c r="C11" t="str">
        <f t="shared" si="1"/>
        <v>Chrysler</v>
      </c>
      <c r="D11" t="str">
        <f t="shared" si="2"/>
        <v>CAR</v>
      </c>
      <c r="E11" t="str">
        <f>VLOOKUP(D11,E$56:F75,2)</f>
        <v>Caravan</v>
      </c>
      <c r="F11" t="str">
        <f t="shared" si="3"/>
        <v>00</v>
      </c>
      <c r="G11">
        <f t="shared" si="4"/>
        <v>26</v>
      </c>
      <c r="H11" s="3">
        <v>77243.100000000006</v>
      </c>
      <c r="I11" s="3">
        <f t="shared" si="5"/>
        <v>2914.8339622641511</v>
      </c>
      <c r="J11" t="s">
        <v>38</v>
      </c>
      <c r="K11" t="s">
        <v>8</v>
      </c>
      <c r="L11">
        <v>75000</v>
      </c>
      <c r="M11" t="str">
        <f t="shared" si="6"/>
        <v>Not Covered</v>
      </c>
      <c r="N11" t="str">
        <f t="shared" si="7"/>
        <v>CR00CARBLA046</v>
      </c>
    </row>
    <row r="12" spans="1:14" x14ac:dyDescent="0.3">
      <c r="A12" t="s">
        <v>47</v>
      </c>
      <c r="B12" t="str">
        <f t="shared" si="0"/>
        <v>CR</v>
      </c>
      <c r="C12" t="str">
        <f t="shared" si="1"/>
        <v>Chrysler</v>
      </c>
      <c r="D12" t="str">
        <f t="shared" si="2"/>
        <v>CAR</v>
      </c>
      <c r="E12" t="str">
        <f>VLOOKUP(D12,E$56:F76,2)</f>
        <v>Caravan</v>
      </c>
      <c r="F12" t="str">
        <f t="shared" si="3"/>
        <v>99</v>
      </c>
      <c r="G12">
        <f t="shared" si="4"/>
        <v>27</v>
      </c>
      <c r="H12" s="3">
        <v>79420.600000000006</v>
      </c>
      <c r="I12" s="3">
        <f t="shared" si="5"/>
        <v>2888.0218181818186</v>
      </c>
      <c r="J12" t="s">
        <v>36</v>
      </c>
      <c r="K12" t="s">
        <v>7</v>
      </c>
      <c r="L12">
        <v>75000</v>
      </c>
      <c r="M12" t="str">
        <f t="shared" si="6"/>
        <v>Not Covered</v>
      </c>
      <c r="N12" t="str">
        <f t="shared" si="7"/>
        <v>CR99CARGRE045</v>
      </c>
    </row>
    <row r="13" spans="1:14" x14ac:dyDescent="0.3">
      <c r="A13" t="s">
        <v>48</v>
      </c>
      <c r="B13" t="str">
        <f t="shared" si="0"/>
        <v>CR</v>
      </c>
      <c r="C13" t="str">
        <f t="shared" si="1"/>
        <v>Chrysler</v>
      </c>
      <c r="D13" t="str">
        <f t="shared" si="2"/>
        <v>PTC</v>
      </c>
      <c r="E13" t="str">
        <f>VLOOKUP(D13,E$56:F77,2)</f>
        <v>PT Cruiser</v>
      </c>
      <c r="F13" t="str">
        <f t="shared" si="3"/>
        <v>04</v>
      </c>
      <c r="G13">
        <f t="shared" si="4"/>
        <v>22</v>
      </c>
      <c r="H13" s="3">
        <v>64542</v>
      </c>
      <c r="I13" s="3">
        <f t="shared" si="5"/>
        <v>2868.5333333333333</v>
      </c>
      <c r="J13" t="s">
        <v>43</v>
      </c>
      <c r="K13" t="s">
        <v>14</v>
      </c>
      <c r="L13">
        <v>75000</v>
      </c>
      <c r="M13" t="str">
        <f t="shared" si="6"/>
        <v>Covered</v>
      </c>
      <c r="N13" t="str">
        <f t="shared" si="7"/>
        <v>CR04PTCBLU042</v>
      </c>
    </row>
    <row r="14" spans="1:14" x14ac:dyDescent="0.3">
      <c r="A14" t="s">
        <v>49</v>
      </c>
      <c r="B14" t="str">
        <f t="shared" si="0"/>
        <v>HO</v>
      </c>
      <c r="C14" t="str">
        <f t="shared" si="1"/>
        <v>Honda</v>
      </c>
      <c r="D14" t="str">
        <f t="shared" si="2"/>
        <v>ODY</v>
      </c>
      <c r="E14" t="str">
        <f>VLOOKUP(D14,E$56:F78,2)</f>
        <v>Odyssey</v>
      </c>
      <c r="F14" t="str">
        <f t="shared" si="3"/>
        <v>05</v>
      </c>
      <c r="G14">
        <f t="shared" si="4"/>
        <v>21</v>
      </c>
      <c r="H14" s="3">
        <v>60389.5</v>
      </c>
      <c r="I14" s="3">
        <f t="shared" si="5"/>
        <v>2808.8139534883721</v>
      </c>
      <c r="J14" t="s">
        <v>34</v>
      </c>
      <c r="K14" t="s">
        <v>6</v>
      </c>
      <c r="L14">
        <v>100000</v>
      </c>
      <c r="M14" t="str">
        <f t="shared" si="6"/>
        <v>Covered</v>
      </c>
      <c r="N14" t="str">
        <f t="shared" si="7"/>
        <v>HO05ODYWHI037</v>
      </c>
    </row>
    <row r="15" spans="1:14" x14ac:dyDescent="0.3">
      <c r="A15" t="s">
        <v>50</v>
      </c>
      <c r="B15" t="str">
        <f t="shared" si="0"/>
        <v>TY</v>
      </c>
      <c r="C15" t="str">
        <f t="shared" si="1"/>
        <v>Toyota</v>
      </c>
      <c r="D15" t="str">
        <f t="shared" si="2"/>
        <v>CAM</v>
      </c>
      <c r="E15" t="str">
        <f>VLOOKUP(D15,E$56:F79,2)</f>
        <v>Camry</v>
      </c>
      <c r="F15" t="str">
        <f t="shared" si="3"/>
        <v>02</v>
      </c>
      <c r="G15">
        <f t="shared" si="4"/>
        <v>24</v>
      </c>
      <c r="H15" s="3">
        <v>67829.100000000006</v>
      </c>
      <c r="I15" s="3">
        <f t="shared" si="5"/>
        <v>2768.534693877551</v>
      </c>
      <c r="J15" t="s">
        <v>38</v>
      </c>
      <c r="K15" t="s">
        <v>14</v>
      </c>
      <c r="L15">
        <v>100000</v>
      </c>
      <c r="M15" t="str">
        <f t="shared" si="6"/>
        <v>Covered</v>
      </c>
      <c r="N15" t="str">
        <f t="shared" si="7"/>
        <v>TY02CAMBLA023</v>
      </c>
    </row>
    <row r="16" spans="1:14" x14ac:dyDescent="0.3">
      <c r="A16" t="s">
        <v>51</v>
      </c>
      <c r="B16" t="str">
        <f t="shared" si="0"/>
        <v>TY</v>
      </c>
      <c r="C16" t="str">
        <f t="shared" si="1"/>
        <v>Toyota</v>
      </c>
      <c r="D16" t="str">
        <f t="shared" si="2"/>
        <v>CAM</v>
      </c>
      <c r="E16" t="str">
        <f>VLOOKUP(D16,E$56:F80,2)</f>
        <v>Camry</v>
      </c>
      <c r="F16" t="str">
        <f t="shared" si="3"/>
        <v>09</v>
      </c>
      <c r="G16">
        <f t="shared" si="4"/>
        <v>17</v>
      </c>
      <c r="H16" s="3">
        <v>48114.2</v>
      </c>
      <c r="I16" s="3">
        <f t="shared" si="5"/>
        <v>2749.3828571428571</v>
      </c>
      <c r="J16" t="s">
        <v>34</v>
      </c>
      <c r="K16" t="s">
        <v>6</v>
      </c>
      <c r="L16">
        <v>100000</v>
      </c>
      <c r="M16" t="str">
        <f t="shared" si="6"/>
        <v>Covered</v>
      </c>
      <c r="N16" t="str">
        <f t="shared" si="7"/>
        <v>TY09CAMWHI024</v>
      </c>
    </row>
    <row r="17" spans="1:14" x14ac:dyDescent="0.3">
      <c r="A17" t="s">
        <v>52</v>
      </c>
      <c r="B17" t="str">
        <f t="shared" si="0"/>
        <v>HO</v>
      </c>
      <c r="C17" t="str">
        <f t="shared" si="1"/>
        <v>Honda</v>
      </c>
      <c r="D17" t="str">
        <f t="shared" si="2"/>
        <v>CIV</v>
      </c>
      <c r="E17" t="str">
        <f>VLOOKUP(D17,E$56:F81,2)</f>
        <v>Civic</v>
      </c>
      <c r="F17" t="str">
        <f t="shared" si="3"/>
        <v>01</v>
      </c>
      <c r="G17">
        <f t="shared" si="4"/>
        <v>25</v>
      </c>
      <c r="H17" s="3">
        <v>69891.899999999994</v>
      </c>
      <c r="I17" s="3">
        <f t="shared" si="5"/>
        <v>2740.8588235294114</v>
      </c>
      <c r="J17" t="s">
        <v>43</v>
      </c>
      <c r="K17" t="s">
        <v>8</v>
      </c>
      <c r="L17">
        <v>75000</v>
      </c>
      <c r="M17" t="str">
        <f t="shared" si="6"/>
        <v>Covered</v>
      </c>
      <c r="N17" t="str">
        <f t="shared" si="7"/>
        <v>HO01CIVBLU031</v>
      </c>
    </row>
    <row r="18" spans="1:14" x14ac:dyDescent="0.3">
      <c r="A18" t="s">
        <v>53</v>
      </c>
      <c r="B18" t="str">
        <f t="shared" si="0"/>
        <v>HO</v>
      </c>
      <c r="C18" t="str">
        <f t="shared" si="1"/>
        <v>Honda</v>
      </c>
      <c r="D18" t="str">
        <f t="shared" si="2"/>
        <v>ODY</v>
      </c>
      <c r="E18" t="str">
        <f>VLOOKUP(D18,E$56:F82,2)</f>
        <v>Odyssey</v>
      </c>
      <c r="F18" t="str">
        <f t="shared" si="3"/>
        <v>14</v>
      </c>
      <c r="G18">
        <f t="shared" si="4"/>
        <v>12</v>
      </c>
      <c r="H18" s="3">
        <v>33708.1</v>
      </c>
      <c r="I18" s="3">
        <f t="shared" si="5"/>
        <v>2696.6479999999997</v>
      </c>
      <c r="J18" t="s">
        <v>38</v>
      </c>
      <c r="K18" t="s">
        <v>10</v>
      </c>
      <c r="L18">
        <v>100000</v>
      </c>
      <c r="M18" t="str">
        <f t="shared" si="6"/>
        <v>Covered</v>
      </c>
      <c r="N18" t="str">
        <f t="shared" si="7"/>
        <v>HO14ODYBLA041</v>
      </c>
    </row>
    <row r="19" spans="1:14" x14ac:dyDescent="0.3">
      <c r="A19" t="s">
        <v>54</v>
      </c>
      <c r="B19" t="str">
        <f t="shared" si="0"/>
        <v>HO</v>
      </c>
      <c r="C19" t="str">
        <f t="shared" si="1"/>
        <v>Honda</v>
      </c>
      <c r="D19" t="str">
        <f t="shared" si="2"/>
        <v>ODY</v>
      </c>
      <c r="E19" t="str">
        <f>VLOOKUP(D19,E$56:F83,2)</f>
        <v>Odyssey</v>
      </c>
      <c r="F19" t="str">
        <f t="shared" si="3"/>
        <v>01</v>
      </c>
      <c r="G19">
        <f t="shared" si="4"/>
        <v>25</v>
      </c>
      <c r="H19" s="3">
        <v>68658.899999999994</v>
      </c>
      <c r="I19" s="3">
        <f t="shared" si="5"/>
        <v>2692.5058823529412</v>
      </c>
      <c r="J19" t="s">
        <v>38</v>
      </c>
      <c r="K19" t="s">
        <v>14</v>
      </c>
      <c r="L19">
        <v>100000</v>
      </c>
      <c r="M19" t="str">
        <f t="shared" si="6"/>
        <v>Covered</v>
      </c>
      <c r="N19" t="str">
        <f t="shared" si="7"/>
        <v>HO01ODYBLA040</v>
      </c>
    </row>
    <row r="20" spans="1:14" x14ac:dyDescent="0.3">
      <c r="A20" t="s">
        <v>55</v>
      </c>
      <c r="B20" t="str">
        <f t="shared" si="0"/>
        <v>TY</v>
      </c>
      <c r="C20" t="str">
        <f t="shared" si="1"/>
        <v>Toyota</v>
      </c>
      <c r="D20" t="str">
        <f t="shared" si="2"/>
        <v>COR</v>
      </c>
      <c r="E20" t="str">
        <f>VLOOKUP(D20,E$56:F84,2)</f>
        <v>Corolla</v>
      </c>
      <c r="F20" t="str">
        <f t="shared" si="3"/>
        <v>02</v>
      </c>
      <c r="G20">
        <f t="shared" si="4"/>
        <v>24</v>
      </c>
      <c r="H20" s="3">
        <v>64467.4</v>
      </c>
      <c r="I20" s="3">
        <f t="shared" si="5"/>
        <v>2631.3224489795921</v>
      </c>
      <c r="J20" t="s">
        <v>56</v>
      </c>
      <c r="K20" t="s">
        <v>5</v>
      </c>
      <c r="L20">
        <v>100000</v>
      </c>
      <c r="M20" t="str">
        <f t="shared" si="6"/>
        <v>Covered</v>
      </c>
      <c r="N20" t="str">
        <f t="shared" si="7"/>
        <v>TY02CORRED025</v>
      </c>
    </row>
    <row r="21" spans="1:14" x14ac:dyDescent="0.3">
      <c r="A21" t="s">
        <v>57</v>
      </c>
      <c r="B21" t="str">
        <f t="shared" si="0"/>
        <v>HO</v>
      </c>
      <c r="C21" t="str">
        <f t="shared" si="1"/>
        <v>Honda</v>
      </c>
      <c r="D21" t="str">
        <f t="shared" si="2"/>
        <v>ODY</v>
      </c>
      <c r="E21" t="str">
        <f>VLOOKUP(D21,E$56:F85,2)</f>
        <v>Odyssey</v>
      </c>
      <c r="F21" t="str">
        <f t="shared" si="3"/>
        <v>07</v>
      </c>
      <c r="G21">
        <f t="shared" si="4"/>
        <v>19</v>
      </c>
      <c r="H21" s="3">
        <v>50854.1</v>
      </c>
      <c r="I21" s="3">
        <f t="shared" si="5"/>
        <v>2607.9025641025642</v>
      </c>
      <c r="J21" t="s">
        <v>38</v>
      </c>
      <c r="K21" t="s">
        <v>15</v>
      </c>
      <c r="L21">
        <v>100000</v>
      </c>
      <c r="M21" t="str">
        <f t="shared" si="6"/>
        <v>Covered</v>
      </c>
      <c r="N21" t="str">
        <f t="shared" si="7"/>
        <v>HO07ODYBLA038</v>
      </c>
    </row>
    <row r="22" spans="1:14" x14ac:dyDescent="0.3">
      <c r="A22" t="s">
        <v>58</v>
      </c>
      <c r="B22" t="str">
        <f t="shared" si="0"/>
        <v>FD</v>
      </c>
      <c r="C22" t="str">
        <f t="shared" si="1"/>
        <v>Ford</v>
      </c>
      <c r="D22" t="str">
        <f t="shared" si="2"/>
        <v>FCS</v>
      </c>
      <c r="E22" t="str">
        <f>VLOOKUP(D22,E$56:F86,2)</f>
        <v>Focus</v>
      </c>
      <c r="F22" t="str">
        <f t="shared" si="3"/>
        <v>06</v>
      </c>
      <c r="G22">
        <f t="shared" si="4"/>
        <v>20</v>
      </c>
      <c r="H22" s="3">
        <v>52229.5</v>
      </c>
      <c r="I22" s="3">
        <f t="shared" si="5"/>
        <v>2547.7804878048782</v>
      </c>
      <c r="J22" t="s">
        <v>36</v>
      </c>
      <c r="K22" t="s">
        <v>9</v>
      </c>
      <c r="L22">
        <v>75000</v>
      </c>
      <c r="M22" t="str">
        <f t="shared" si="6"/>
        <v>Covered</v>
      </c>
      <c r="N22" t="str">
        <f t="shared" si="7"/>
        <v>FD06FCSGRE007</v>
      </c>
    </row>
    <row r="23" spans="1:14" x14ac:dyDescent="0.3">
      <c r="A23" t="s">
        <v>59</v>
      </c>
      <c r="B23" t="str">
        <f t="shared" si="0"/>
        <v>FD</v>
      </c>
      <c r="C23" t="str">
        <f t="shared" si="1"/>
        <v>Ford</v>
      </c>
      <c r="D23" t="str">
        <f t="shared" si="2"/>
        <v>MTG</v>
      </c>
      <c r="E23" t="str">
        <f>VLOOKUP(D23,E$56:F87,2)</f>
        <v>Mustang</v>
      </c>
      <c r="F23" t="str">
        <f t="shared" si="3"/>
        <v>08</v>
      </c>
      <c r="G23">
        <f t="shared" si="4"/>
        <v>18</v>
      </c>
      <c r="H23" s="3">
        <v>44946.5</v>
      </c>
      <c r="I23" s="3">
        <f t="shared" si="5"/>
        <v>2429.5405405405404</v>
      </c>
      <c r="J23" t="s">
        <v>36</v>
      </c>
      <c r="K23" t="s">
        <v>9</v>
      </c>
      <c r="L23">
        <v>50000</v>
      </c>
      <c r="M23" t="str">
        <f t="shared" si="6"/>
        <v>Covered</v>
      </c>
      <c r="N23" t="str">
        <f t="shared" si="7"/>
        <v>FD08MTGGRE003</v>
      </c>
    </row>
    <row r="24" spans="1:14" x14ac:dyDescent="0.3">
      <c r="A24" t="s">
        <v>60</v>
      </c>
      <c r="B24" t="str">
        <f t="shared" si="0"/>
        <v>CR</v>
      </c>
      <c r="C24" t="str">
        <f t="shared" si="1"/>
        <v>Chrysler</v>
      </c>
      <c r="D24" t="str">
        <f t="shared" si="2"/>
        <v>CAR</v>
      </c>
      <c r="E24" t="str">
        <f>VLOOKUP(D24,E$56:F88,2)</f>
        <v>Caravan</v>
      </c>
      <c r="F24" t="str">
        <f t="shared" si="3"/>
        <v>04</v>
      </c>
      <c r="G24">
        <f t="shared" si="4"/>
        <v>22</v>
      </c>
      <c r="H24" s="3">
        <v>52699.4</v>
      </c>
      <c r="I24" s="3">
        <f t="shared" si="5"/>
        <v>2342.1955555555555</v>
      </c>
      <c r="J24" t="s">
        <v>56</v>
      </c>
      <c r="K24" t="s">
        <v>2</v>
      </c>
      <c r="L24">
        <v>75000</v>
      </c>
      <c r="M24" t="str">
        <f t="shared" si="6"/>
        <v>Covered</v>
      </c>
      <c r="N24" t="str">
        <f t="shared" si="7"/>
        <v>CR04CARRED048</v>
      </c>
    </row>
    <row r="25" spans="1:14" x14ac:dyDescent="0.3">
      <c r="A25" t="s">
        <v>61</v>
      </c>
      <c r="B25" t="str">
        <f t="shared" si="0"/>
        <v>HO</v>
      </c>
      <c r="C25" t="str">
        <f t="shared" si="1"/>
        <v>Honda</v>
      </c>
      <c r="D25" t="str">
        <f t="shared" si="2"/>
        <v>ODY</v>
      </c>
      <c r="E25" t="str">
        <f>VLOOKUP(D25,E$56:F89,2)</f>
        <v>Odyssey</v>
      </c>
      <c r="F25" t="str">
        <f t="shared" si="3"/>
        <v>08</v>
      </c>
      <c r="G25">
        <f t="shared" si="4"/>
        <v>18</v>
      </c>
      <c r="H25" s="3">
        <v>42504.6</v>
      </c>
      <c r="I25" s="3">
        <f t="shared" si="5"/>
        <v>2297.5459459459457</v>
      </c>
      <c r="J25" t="s">
        <v>34</v>
      </c>
      <c r="K25" t="s">
        <v>12</v>
      </c>
      <c r="L25">
        <v>100000</v>
      </c>
      <c r="M25" t="str">
        <f t="shared" si="6"/>
        <v>Covered</v>
      </c>
      <c r="N25" t="str">
        <f t="shared" si="7"/>
        <v>HO08ODYWHI039</v>
      </c>
    </row>
    <row r="26" spans="1:14" x14ac:dyDescent="0.3">
      <c r="A26" t="s">
        <v>62</v>
      </c>
      <c r="B26" t="str">
        <f t="shared" si="0"/>
        <v>FD</v>
      </c>
      <c r="C26" t="str">
        <f t="shared" si="1"/>
        <v>Ford</v>
      </c>
      <c r="D26" t="str">
        <f t="shared" si="2"/>
        <v>FCS</v>
      </c>
      <c r="E26" t="str">
        <f>VLOOKUP(D26,E$56:F90,2)</f>
        <v>Focus</v>
      </c>
      <c r="F26" t="str">
        <f t="shared" si="3"/>
        <v>06</v>
      </c>
      <c r="G26">
        <f t="shared" si="4"/>
        <v>20</v>
      </c>
      <c r="H26" s="3">
        <v>46311.4</v>
      </c>
      <c r="I26" s="3">
        <f t="shared" si="5"/>
        <v>2259.0926829268292</v>
      </c>
      <c r="J26" t="s">
        <v>36</v>
      </c>
      <c r="K26" t="s">
        <v>4</v>
      </c>
      <c r="L26">
        <v>75000</v>
      </c>
      <c r="M26" t="str">
        <f t="shared" si="6"/>
        <v>Covered</v>
      </c>
      <c r="N26" t="str">
        <f t="shared" si="7"/>
        <v>FD06FCSGRE006</v>
      </c>
    </row>
    <row r="27" spans="1:14" x14ac:dyDescent="0.3">
      <c r="A27" t="s">
        <v>63</v>
      </c>
      <c r="B27" t="str">
        <f t="shared" si="0"/>
        <v>CR</v>
      </c>
      <c r="C27" t="str">
        <f t="shared" si="1"/>
        <v>Chrysler</v>
      </c>
      <c r="D27" t="str">
        <f t="shared" si="2"/>
        <v>PTC</v>
      </c>
      <c r="E27" t="str">
        <f>VLOOKUP(D27,E$56:F91,2)</f>
        <v>PT Cruiser</v>
      </c>
      <c r="F27" t="str">
        <f t="shared" si="3"/>
        <v>07</v>
      </c>
      <c r="G27">
        <f t="shared" si="4"/>
        <v>19</v>
      </c>
      <c r="H27" s="3">
        <v>42074.2</v>
      </c>
      <c r="I27" s="3">
        <f t="shared" si="5"/>
        <v>2157.6512820512821</v>
      </c>
      <c r="J27" t="s">
        <v>36</v>
      </c>
      <c r="K27" t="s">
        <v>5</v>
      </c>
      <c r="L27">
        <v>75000</v>
      </c>
      <c r="M27" t="str">
        <f t="shared" si="6"/>
        <v>Covered</v>
      </c>
      <c r="N27" t="str">
        <f t="shared" si="7"/>
        <v>CR07PTCGRE043</v>
      </c>
    </row>
    <row r="28" spans="1:14" x14ac:dyDescent="0.3">
      <c r="A28" t="s">
        <v>64</v>
      </c>
      <c r="B28" t="str">
        <f t="shared" si="0"/>
        <v>FD</v>
      </c>
      <c r="C28" t="str">
        <f t="shared" si="1"/>
        <v>Ford</v>
      </c>
      <c r="D28" t="str">
        <f t="shared" si="2"/>
        <v>FCS</v>
      </c>
      <c r="E28" t="str">
        <f>VLOOKUP(D28,E$56:F92,2)</f>
        <v>Focus</v>
      </c>
      <c r="F28" t="str">
        <f t="shared" si="3"/>
        <v>13</v>
      </c>
      <c r="G28">
        <f t="shared" si="4"/>
        <v>13</v>
      </c>
      <c r="H28" s="3">
        <v>27637.1</v>
      </c>
      <c r="I28" s="3">
        <f t="shared" si="5"/>
        <v>2047.1925925925925</v>
      </c>
      <c r="J28" t="s">
        <v>38</v>
      </c>
      <c r="K28" t="s">
        <v>14</v>
      </c>
      <c r="L28">
        <v>75000</v>
      </c>
      <c r="M28" t="str">
        <f t="shared" si="6"/>
        <v>Covered</v>
      </c>
      <c r="N28" t="str">
        <f t="shared" si="7"/>
        <v>FD13FCSBLA009</v>
      </c>
    </row>
    <row r="29" spans="1:14" x14ac:dyDescent="0.3">
      <c r="A29" t="s">
        <v>65</v>
      </c>
      <c r="B29" t="str">
        <f t="shared" si="0"/>
        <v>TY</v>
      </c>
      <c r="C29" t="str">
        <f t="shared" si="1"/>
        <v>Toyota</v>
      </c>
      <c r="D29" t="str">
        <f t="shared" si="2"/>
        <v>COR</v>
      </c>
      <c r="E29" t="str">
        <f>VLOOKUP(D29,E$56:F93,2)</f>
        <v>Corolla</v>
      </c>
      <c r="F29" t="str">
        <f t="shared" si="3"/>
        <v>12</v>
      </c>
      <c r="G29">
        <f t="shared" si="4"/>
        <v>14</v>
      </c>
      <c r="H29" s="3">
        <v>29601.9</v>
      </c>
      <c r="I29" s="3">
        <f t="shared" si="5"/>
        <v>2041.5103448275863</v>
      </c>
      <c r="J29" t="s">
        <v>38</v>
      </c>
      <c r="K29" t="s">
        <v>13</v>
      </c>
      <c r="L29">
        <v>100000</v>
      </c>
      <c r="M29" t="str">
        <f t="shared" si="6"/>
        <v>Covered</v>
      </c>
      <c r="N29" t="str">
        <f t="shared" si="7"/>
        <v>TY12CORBLA028</v>
      </c>
    </row>
    <row r="30" spans="1:14" x14ac:dyDescent="0.3">
      <c r="A30" t="s">
        <v>66</v>
      </c>
      <c r="B30" t="str">
        <f t="shared" si="0"/>
        <v>FD</v>
      </c>
      <c r="C30" t="str">
        <f t="shared" si="1"/>
        <v>Ford</v>
      </c>
      <c r="D30" t="str">
        <f t="shared" si="2"/>
        <v>FCS</v>
      </c>
      <c r="E30" t="str">
        <f>VLOOKUP(D30,E$56:F94,2)</f>
        <v>Focus</v>
      </c>
      <c r="F30" t="str">
        <f t="shared" si="3"/>
        <v>13</v>
      </c>
      <c r="G30">
        <f t="shared" si="4"/>
        <v>13</v>
      </c>
      <c r="H30" s="3">
        <v>27534.799999999999</v>
      </c>
      <c r="I30" s="3">
        <f t="shared" si="5"/>
        <v>2039.6148148148147</v>
      </c>
      <c r="J30" t="s">
        <v>34</v>
      </c>
      <c r="K30" t="s">
        <v>11</v>
      </c>
      <c r="L30">
        <v>75000</v>
      </c>
      <c r="M30" t="str">
        <f t="shared" si="6"/>
        <v>Covered</v>
      </c>
      <c r="N30" t="str">
        <f t="shared" si="7"/>
        <v>FD13FCSWHI010</v>
      </c>
    </row>
    <row r="31" spans="1:14" x14ac:dyDescent="0.3">
      <c r="A31" t="s">
        <v>67</v>
      </c>
      <c r="B31" t="str">
        <f t="shared" si="0"/>
        <v>FD</v>
      </c>
      <c r="C31" t="str">
        <f t="shared" si="1"/>
        <v>Ford</v>
      </c>
      <c r="D31" t="str">
        <f t="shared" si="2"/>
        <v>MTG</v>
      </c>
      <c r="E31" t="str">
        <f>VLOOKUP(D31,E$56:F95,2)</f>
        <v>Mustang</v>
      </c>
      <c r="F31" t="str">
        <f t="shared" si="3"/>
        <v>08</v>
      </c>
      <c r="G31">
        <f t="shared" si="4"/>
        <v>18</v>
      </c>
      <c r="H31" s="3">
        <v>37558.800000000003</v>
      </c>
      <c r="I31" s="3">
        <f t="shared" si="5"/>
        <v>2030.2054054054056</v>
      </c>
      <c r="J31" t="s">
        <v>38</v>
      </c>
      <c r="K31" t="s">
        <v>8</v>
      </c>
      <c r="L31">
        <v>50000</v>
      </c>
      <c r="M31" t="str">
        <f t="shared" si="6"/>
        <v>Covered</v>
      </c>
      <c r="N31" t="str">
        <f t="shared" si="7"/>
        <v>FD08MTGBLA004</v>
      </c>
    </row>
    <row r="32" spans="1:14" x14ac:dyDescent="0.3">
      <c r="A32" t="s">
        <v>68</v>
      </c>
      <c r="B32" t="str">
        <f t="shared" si="0"/>
        <v>HO</v>
      </c>
      <c r="C32" t="str">
        <f t="shared" si="1"/>
        <v>Honda</v>
      </c>
      <c r="D32" t="str">
        <f t="shared" si="2"/>
        <v>CIV</v>
      </c>
      <c r="E32" t="str">
        <f>VLOOKUP(D32,E$56:F96,2)</f>
        <v>Civic</v>
      </c>
      <c r="F32" t="str">
        <f t="shared" si="3"/>
        <v>10</v>
      </c>
      <c r="G32">
        <f t="shared" si="4"/>
        <v>16</v>
      </c>
      <c r="H32" s="3">
        <v>33477.199999999997</v>
      </c>
      <c r="I32" s="3">
        <f t="shared" si="5"/>
        <v>2028.921212121212</v>
      </c>
      <c r="J32" t="s">
        <v>38</v>
      </c>
      <c r="K32" t="s">
        <v>15</v>
      </c>
      <c r="L32">
        <v>75000</v>
      </c>
      <c r="M32" t="str">
        <f t="shared" si="6"/>
        <v>Covered</v>
      </c>
      <c r="N32" t="str">
        <f t="shared" si="7"/>
        <v>HO10CIVBLA033</v>
      </c>
    </row>
    <row r="33" spans="1:14" x14ac:dyDescent="0.3">
      <c r="A33" t="s">
        <v>69</v>
      </c>
      <c r="B33" t="str">
        <f t="shared" si="0"/>
        <v>FD</v>
      </c>
      <c r="C33" t="str">
        <f t="shared" si="1"/>
        <v>Ford</v>
      </c>
      <c r="D33" t="str">
        <f t="shared" si="2"/>
        <v>FCS</v>
      </c>
      <c r="E33" t="str">
        <f>VLOOKUP(D33,E$56:F97,2)</f>
        <v>Focus</v>
      </c>
      <c r="F33" t="str">
        <f t="shared" si="3"/>
        <v>09</v>
      </c>
      <c r="G33">
        <f t="shared" si="4"/>
        <v>17</v>
      </c>
      <c r="H33" s="3">
        <v>35137</v>
      </c>
      <c r="I33" s="3">
        <f t="shared" si="5"/>
        <v>2007.8285714285714</v>
      </c>
      <c r="J33" t="s">
        <v>38</v>
      </c>
      <c r="K33" t="s">
        <v>6</v>
      </c>
      <c r="L33">
        <v>75000</v>
      </c>
      <c r="M33" t="str">
        <f t="shared" si="6"/>
        <v>Covered</v>
      </c>
      <c r="N33" t="str">
        <f t="shared" si="7"/>
        <v>FD09FCSBLA008</v>
      </c>
    </row>
    <row r="34" spans="1:14" x14ac:dyDescent="0.3">
      <c r="A34" t="s">
        <v>70</v>
      </c>
      <c r="B34" t="str">
        <f t="shared" ref="B34:B53" si="8">LEFT(A34,2)</f>
        <v>HO</v>
      </c>
      <c r="C34" t="str">
        <f t="shared" ref="C34:C53" si="9">VLOOKUP(B34,B$56:C$61,2)</f>
        <v>Honda</v>
      </c>
      <c r="D34" t="str">
        <f t="shared" ref="D34:D53" si="10">MID(A34,5,3)</f>
        <v>CIV</v>
      </c>
      <c r="E34" t="str">
        <f>VLOOKUP(D34,E$56:F98,2)</f>
        <v>Civic</v>
      </c>
      <c r="F34" t="str">
        <f t="shared" ref="F34:F53" si="11">MID(A34,3,2)</f>
        <v>11</v>
      </c>
      <c r="G34">
        <f t="shared" ref="G34:G53" si="12">IF(26-F34&lt;0,100-F34+26,26-F34)</f>
        <v>15</v>
      </c>
      <c r="H34" s="3">
        <v>30555.3</v>
      </c>
      <c r="I34" s="3">
        <f t="shared" ref="I34:I53" si="13">H34/(G34+0.5)</f>
        <v>1971.3096774193548</v>
      </c>
      <c r="J34" t="s">
        <v>38</v>
      </c>
      <c r="K34" t="s">
        <v>9</v>
      </c>
      <c r="L34">
        <v>75000</v>
      </c>
      <c r="M34" t="str">
        <f t="shared" ref="M34:M53" si="14">IF(H34&lt;=L34,"Covered","Not Covered")</f>
        <v>Covered</v>
      </c>
      <c r="N34" t="str">
        <f t="shared" ref="N34:N53" si="15">CONCATENATE(B34,F34,D34,UPPER(LEFT(J34,3)),RIGHT(A34,3))</f>
        <v>HO11CIVBLA034</v>
      </c>
    </row>
    <row r="35" spans="1:14" x14ac:dyDescent="0.3">
      <c r="A35" t="s">
        <v>71</v>
      </c>
      <c r="B35" t="str">
        <f t="shared" si="8"/>
        <v>FD</v>
      </c>
      <c r="C35" t="str">
        <f t="shared" si="9"/>
        <v>Ford</v>
      </c>
      <c r="D35" t="str">
        <f t="shared" si="10"/>
        <v>MTG</v>
      </c>
      <c r="E35" t="str">
        <f>VLOOKUP(D35,E$56:F99,2)</f>
        <v>Mustang</v>
      </c>
      <c r="F35" t="str">
        <f t="shared" si="11"/>
        <v>08</v>
      </c>
      <c r="G35">
        <f t="shared" si="12"/>
        <v>18</v>
      </c>
      <c r="H35" s="3">
        <v>36438.5</v>
      </c>
      <c r="I35" s="3">
        <f t="shared" si="13"/>
        <v>1969.6486486486488</v>
      </c>
      <c r="J35" t="s">
        <v>34</v>
      </c>
      <c r="K35" t="s">
        <v>14</v>
      </c>
      <c r="L35">
        <v>50000</v>
      </c>
      <c r="M35" t="str">
        <f t="shared" si="14"/>
        <v>Covered</v>
      </c>
      <c r="N35" t="str">
        <f t="shared" si="15"/>
        <v>FD08MTGWHI005</v>
      </c>
    </row>
    <row r="36" spans="1:14" x14ac:dyDescent="0.3">
      <c r="A36" t="s">
        <v>72</v>
      </c>
      <c r="B36" t="str">
        <f t="shared" si="8"/>
        <v>GM</v>
      </c>
      <c r="C36" t="str">
        <f t="shared" si="9"/>
        <v>General Motors</v>
      </c>
      <c r="D36" t="str">
        <f t="shared" si="10"/>
        <v>SLV</v>
      </c>
      <c r="E36" t="str">
        <f>VLOOKUP(D36,E$56:F100,2)</f>
        <v>silverado</v>
      </c>
      <c r="F36" t="str">
        <f t="shared" si="11"/>
        <v>10</v>
      </c>
      <c r="G36">
        <f t="shared" si="12"/>
        <v>16</v>
      </c>
      <c r="H36" s="3">
        <v>31144.400000000001</v>
      </c>
      <c r="I36" s="3">
        <f t="shared" si="13"/>
        <v>1887.5393939393941</v>
      </c>
      <c r="J36" t="s">
        <v>38</v>
      </c>
      <c r="K36" t="s">
        <v>7</v>
      </c>
      <c r="L36">
        <v>100000</v>
      </c>
      <c r="M36" t="str">
        <f t="shared" si="14"/>
        <v>Covered</v>
      </c>
      <c r="N36" t="str">
        <f t="shared" si="15"/>
        <v>GM10SLVBLA017</v>
      </c>
    </row>
    <row r="37" spans="1:14" x14ac:dyDescent="0.3">
      <c r="A37" t="s">
        <v>73</v>
      </c>
      <c r="B37" t="str">
        <f t="shared" si="8"/>
        <v>HY</v>
      </c>
      <c r="C37" t="str">
        <f t="shared" si="9"/>
        <v>Hyundai</v>
      </c>
      <c r="D37" t="str">
        <f t="shared" si="10"/>
        <v>ELA</v>
      </c>
      <c r="E37" t="str">
        <f>VLOOKUP(D37,E$56:F101,2)</f>
        <v>Elantra</v>
      </c>
      <c r="F37" t="str">
        <f t="shared" si="11"/>
        <v>11</v>
      </c>
      <c r="G37">
        <f t="shared" si="12"/>
        <v>15</v>
      </c>
      <c r="H37" s="3">
        <v>29102.3</v>
      </c>
      <c r="I37" s="3">
        <f t="shared" si="13"/>
        <v>1877.5677419354838</v>
      </c>
      <c r="J37" t="s">
        <v>38</v>
      </c>
      <c r="K37" t="s">
        <v>16</v>
      </c>
      <c r="L37">
        <v>100000</v>
      </c>
      <c r="M37" t="str">
        <f t="shared" si="14"/>
        <v>Covered</v>
      </c>
      <c r="N37" t="str">
        <f t="shared" si="15"/>
        <v>HY11ELABLA049</v>
      </c>
    </row>
    <row r="38" spans="1:14" x14ac:dyDescent="0.3">
      <c r="A38" t="s">
        <v>74</v>
      </c>
      <c r="B38" t="str">
        <f t="shared" si="8"/>
        <v>FD</v>
      </c>
      <c r="C38" t="str">
        <f t="shared" si="9"/>
        <v>Ford</v>
      </c>
      <c r="D38" t="str">
        <f t="shared" si="10"/>
        <v>MTG</v>
      </c>
      <c r="E38" t="str">
        <f>VLOOKUP(D38,E$56:F102,2)</f>
        <v>Mustang</v>
      </c>
      <c r="F38" t="str">
        <f t="shared" si="11"/>
        <v>05</v>
      </c>
      <c r="G38">
        <f t="shared" si="12"/>
        <v>21</v>
      </c>
      <c r="H38" s="3">
        <v>40326.800000000003</v>
      </c>
      <c r="I38" s="3">
        <f t="shared" si="13"/>
        <v>1875.6651162790699</v>
      </c>
      <c r="J38" t="s">
        <v>38</v>
      </c>
      <c r="K38" t="s">
        <v>14</v>
      </c>
      <c r="L38">
        <v>50000</v>
      </c>
      <c r="M38" t="str">
        <f t="shared" si="14"/>
        <v>Covered</v>
      </c>
      <c r="N38" t="str">
        <f t="shared" si="15"/>
        <v>FD05MTGBLA001</v>
      </c>
    </row>
    <row r="39" spans="1:14" x14ac:dyDescent="0.3">
      <c r="A39" t="s">
        <v>75</v>
      </c>
      <c r="B39" t="str">
        <f t="shared" si="8"/>
        <v>CR</v>
      </c>
      <c r="C39" t="str">
        <f t="shared" si="9"/>
        <v>Chrysler</v>
      </c>
      <c r="D39" t="str">
        <f t="shared" si="10"/>
        <v>PTC</v>
      </c>
      <c r="E39" t="str">
        <f>VLOOKUP(D39,E$56:F103,2)</f>
        <v>PT Cruiser</v>
      </c>
      <c r="F39" t="str">
        <f t="shared" si="11"/>
        <v>11</v>
      </c>
      <c r="G39">
        <f t="shared" si="12"/>
        <v>15</v>
      </c>
      <c r="H39" s="3">
        <v>27394.2</v>
      </c>
      <c r="I39" s="3">
        <f t="shared" si="13"/>
        <v>1767.367741935484</v>
      </c>
      <c r="J39" t="s">
        <v>38</v>
      </c>
      <c r="K39" t="s">
        <v>17</v>
      </c>
      <c r="L39">
        <v>75000</v>
      </c>
      <c r="M39" t="str">
        <f t="shared" si="14"/>
        <v>Covered</v>
      </c>
      <c r="N39" t="str">
        <f t="shared" si="15"/>
        <v>CR11PTCBLA044</v>
      </c>
    </row>
    <row r="40" spans="1:14" x14ac:dyDescent="0.3">
      <c r="A40" t="s">
        <v>76</v>
      </c>
      <c r="B40" t="str">
        <f t="shared" si="8"/>
        <v>HO</v>
      </c>
      <c r="C40" t="str">
        <f t="shared" si="9"/>
        <v>Honda</v>
      </c>
      <c r="D40" t="str">
        <f t="shared" si="10"/>
        <v>CIV</v>
      </c>
      <c r="E40" t="str">
        <f>VLOOKUP(D40,E$56:F104,2)</f>
        <v>Civic</v>
      </c>
      <c r="F40" t="str">
        <f t="shared" si="11"/>
        <v>12</v>
      </c>
      <c r="G40">
        <f t="shared" si="12"/>
        <v>14</v>
      </c>
      <c r="H40" s="3">
        <v>24513.200000000001</v>
      </c>
      <c r="I40" s="3">
        <f t="shared" si="13"/>
        <v>1690.5655172413794</v>
      </c>
      <c r="J40" t="s">
        <v>38</v>
      </c>
      <c r="K40" t="s">
        <v>7</v>
      </c>
      <c r="L40">
        <v>75000</v>
      </c>
      <c r="M40" t="str">
        <f t="shared" si="14"/>
        <v>Covered</v>
      </c>
      <c r="N40" t="str">
        <f t="shared" si="15"/>
        <v>HO12CIVBLA035</v>
      </c>
    </row>
    <row r="41" spans="1:14" x14ac:dyDescent="0.3">
      <c r="A41" t="s">
        <v>77</v>
      </c>
      <c r="B41" t="str">
        <f t="shared" si="8"/>
        <v>FD</v>
      </c>
      <c r="C41" t="str">
        <f t="shared" si="9"/>
        <v>Ford</v>
      </c>
      <c r="D41" t="str">
        <f t="shared" si="10"/>
        <v>FCS</v>
      </c>
      <c r="E41" t="str">
        <f>VLOOKUP(D41,E$56:F105,2)</f>
        <v>Focus</v>
      </c>
      <c r="F41" t="str">
        <f t="shared" si="11"/>
        <v>13</v>
      </c>
      <c r="G41">
        <f t="shared" si="12"/>
        <v>13</v>
      </c>
      <c r="H41" s="3">
        <v>22521.599999999999</v>
      </c>
      <c r="I41" s="3">
        <f t="shared" si="13"/>
        <v>1668.2666666666667</v>
      </c>
      <c r="J41" t="s">
        <v>38</v>
      </c>
      <c r="K41" t="s">
        <v>17</v>
      </c>
      <c r="L41">
        <v>75000</v>
      </c>
      <c r="M41" t="str">
        <f t="shared" si="14"/>
        <v>Covered</v>
      </c>
      <c r="N41" t="str">
        <f t="shared" si="15"/>
        <v>FD13FCSBLA012</v>
      </c>
    </row>
    <row r="42" spans="1:14" x14ac:dyDescent="0.3">
      <c r="A42" t="s">
        <v>78</v>
      </c>
      <c r="B42" t="str">
        <f t="shared" si="8"/>
        <v>HY</v>
      </c>
      <c r="C42" t="str">
        <f t="shared" si="9"/>
        <v>Hyundai</v>
      </c>
      <c r="D42" t="str">
        <f t="shared" si="10"/>
        <v>ELA</v>
      </c>
      <c r="E42" t="str">
        <f>VLOOKUP(D42,E$56:F106,2)</f>
        <v>Elantra</v>
      </c>
      <c r="F42" t="str">
        <f t="shared" si="11"/>
        <v>13</v>
      </c>
      <c r="G42">
        <f t="shared" si="12"/>
        <v>13</v>
      </c>
      <c r="H42" s="3">
        <v>22188.5</v>
      </c>
      <c r="I42" s="3">
        <f t="shared" si="13"/>
        <v>1643.5925925925926</v>
      </c>
      <c r="J42" t="s">
        <v>43</v>
      </c>
      <c r="K42" t="s">
        <v>4</v>
      </c>
      <c r="L42">
        <v>100000</v>
      </c>
      <c r="M42" t="str">
        <f t="shared" si="14"/>
        <v>Covered</v>
      </c>
      <c r="N42" t="str">
        <f t="shared" si="15"/>
        <v>HY13ELABLU052</v>
      </c>
    </row>
    <row r="43" spans="1:14" x14ac:dyDescent="0.3">
      <c r="A43" t="s">
        <v>79</v>
      </c>
      <c r="B43" t="str">
        <f t="shared" si="8"/>
        <v>GM</v>
      </c>
      <c r="C43" t="str">
        <f t="shared" si="9"/>
        <v>General Motors</v>
      </c>
      <c r="D43" t="str">
        <f t="shared" si="10"/>
        <v>CMR</v>
      </c>
      <c r="E43" t="str">
        <f>VLOOKUP(D43,E$56:F107,2)</f>
        <v>Camero</v>
      </c>
      <c r="F43" t="str">
        <f t="shared" si="11"/>
        <v>09</v>
      </c>
      <c r="G43">
        <f t="shared" si="12"/>
        <v>17</v>
      </c>
      <c r="H43" s="3">
        <v>28464.799999999999</v>
      </c>
      <c r="I43" s="3">
        <f t="shared" si="13"/>
        <v>1626.56</v>
      </c>
      <c r="J43" t="s">
        <v>34</v>
      </c>
      <c r="K43" t="s">
        <v>13</v>
      </c>
      <c r="L43">
        <v>100000</v>
      </c>
      <c r="M43" t="str">
        <f t="shared" si="14"/>
        <v>Covered</v>
      </c>
      <c r="N43" t="str">
        <f t="shared" si="15"/>
        <v>GM09CMRWHI014</v>
      </c>
    </row>
    <row r="44" spans="1:14" x14ac:dyDescent="0.3">
      <c r="A44" t="s">
        <v>80</v>
      </c>
      <c r="B44" t="str">
        <f t="shared" si="8"/>
        <v>HY</v>
      </c>
      <c r="C44" t="str">
        <f t="shared" si="9"/>
        <v>Hyundai</v>
      </c>
      <c r="D44" t="str">
        <f t="shared" si="10"/>
        <v>ELA</v>
      </c>
      <c r="E44" t="str">
        <f>VLOOKUP(D44,E$56:F108,2)</f>
        <v>Elantra</v>
      </c>
      <c r="F44" t="str">
        <f t="shared" si="11"/>
        <v>12</v>
      </c>
      <c r="G44">
        <f t="shared" si="12"/>
        <v>14</v>
      </c>
      <c r="H44" s="3">
        <v>22282</v>
      </c>
      <c r="I44" s="3">
        <f t="shared" si="13"/>
        <v>1536.6896551724137</v>
      </c>
      <c r="J44" t="s">
        <v>43</v>
      </c>
      <c r="K44" t="s">
        <v>10</v>
      </c>
      <c r="L44">
        <v>100000</v>
      </c>
      <c r="M44" t="str">
        <f t="shared" si="14"/>
        <v>Covered</v>
      </c>
      <c r="N44" t="str">
        <f t="shared" si="15"/>
        <v>HY12ELABLU050</v>
      </c>
    </row>
    <row r="45" spans="1:14" x14ac:dyDescent="0.3">
      <c r="A45" t="s">
        <v>81</v>
      </c>
      <c r="B45" t="str">
        <f t="shared" si="8"/>
        <v>TY</v>
      </c>
      <c r="C45" t="str">
        <f t="shared" si="9"/>
        <v>Toyota</v>
      </c>
      <c r="D45" t="str">
        <f t="shared" si="10"/>
        <v>CAM</v>
      </c>
      <c r="E45" t="str">
        <f>VLOOKUP(D45,E$56:F109,2)</f>
        <v>Camry</v>
      </c>
      <c r="F45" t="str">
        <f t="shared" si="11"/>
        <v>12</v>
      </c>
      <c r="G45">
        <f t="shared" si="12"/>
        <v>14</v>
      </c>
      <c r="H45" s="3">
        <v>22128.2</v>
      </c>
      <c r="I45" s="3">
        <f t="shared" si="13"/>
        <v>1526.0827586206897</v>
      </c>
      <c r="J45" t="s">
        <v>43</v>
      </c>
      <c r="K45" t="s">
        <v>3</v>
      </c>
      <c r="L45">
        <v>100000</v>
      </c>
      <c r="M45" t="str">
        <f t="shared" si="14"/>
        <v>Covered</v>
      </c>
      <c r="N45" t="str">
        <f t="shared" si="15"/>
        <v>TY12CAMBLU029</v>
      </c>
    </row>
    <row r="46" spans="1:14" x14ac:dyDescent="0.3">
      <c r="A46" t="s">
        <v>82</v>
      </c>
      <c r="B46" t="str">
        <f t="shared" si="8"/>
        <v>HY</v>
      </c>
      <c r="C46" t="str">
        <f t="shared" si="9"/>
        <v>Hyundai</v>
      </c>
      <c r="D46" t="str">
        <f t="shared" si="10"/>
        <v>ELA</v>
      </c>
      <c r="E46" t="str">
        <f>VLOOKUP(D46,E$56:F110,2)</f>
        <v>Elantra</v>
      </c>
      <c r="F46" t="str">
        <f t="shared" si="11"/>
        <v>13</v>
      </c>
      <c r="G46">
        <f t="shared" si="12"/>
        <v>13</v>
      </c>
      <c r="H46" s="3">
        <v>20223.900000000001</v>
      </c>
      <c r="I46" s="3">
        <f t="shared" si="13"/>
        <v>1498.0666666666668</v>
      </c>
      <c r="J46" t="s">
        <v>38</v>
      </c>
      <c r="K46" t="s">
        <v>11</v>
      </c>
      <c r="L46">
        <v>100000</v>
      </c>
      <c r="M46" t="str">
        <f t="shared" si="14"/>
        <v>Covered</v>
      </c>
      <c r="N46" t="str">
        <f t="shared" si="15"/>
        <v>HY13ELABLA051</v>
      </c>
    </row>
    <row r="47" spans="1:14" x14ac:dyDescent="0.3">
      <c r="A47" t="s">
        <v>83</v>
      </c>
      <c r="B47" t="str">
        <f t="shared" si="8"/>
        <v>TY</v>
      </c>
      <c r="C47" t="str">
        <f t="shared" si="9"/>
        <v>Toyota</v>
      </c>
      <c r="D47" t="str">
        <f t="shared" si="10"/>
        <v>COR</v>
      </c>
      <c r="E47" t="str">
        <f>VLOOKUP(D47,E$56:F111,2)</f>
        <v>Corolla</v>
      </c>
      <c r="F47" t="str">
        <f t="shared" si="11"/>
        <v>14</v>
      </c>
      <c r="G47">
        <f t="shared" si="12"/>
        <v>12</v>
      </c>
      <c r="H47" s="3">
        <v>17556.3</v>
      </c>
      <c r="I47" s="3">
        <f t="shared" si="13"/>
        <v>1404.5039999999999</v>
      </c>
      <c r="J47" t="s">
        <v>43</v>
      </c>
      <c r="K47" t="s">
        <v>11</v>
      </c>
      <c r="L47">
        <v>100000</v>
      </c>
      <c r="M47" t="str">
        <f t="shared" si="14"/>
        <v>Covered</v>
      </c>
      <c r="N47" t="str">
        <f t="shared" si="15"/>
        <v>TY14CORBLU027</v>
      </c>
    </row>
    <row r="48" spans="1:14" x14ac:dyDescent="0.3">
      <c r="A48" t="s">
        <v>84</v>
      </c>
      <c r="B48" t="str">
        <f t="shared" si="8"/>
        <v>HO</v>
      </c>
      <c r="C48" t="str">
        <f t="shared" si="9"/>
        <v>Honda</v>
      </c>
      <c r="D48" t="str">
        <f t="shared" si="10"/>
        <v>CIV</v>
      </c>
      <c r="E48" t="str">
        <f>VLOOKUP(D48,E$56:F112,2)</f>
        <v>Civic</v>
      </c>
      <c r="F48" t="str">
        <f t="shared" si="11"/>
        <v>10</v>
      </c>
      <c r="G48">
        <f t="shared" si="12"/>
        <v>16</v>
      </c>
      <c r="H48" s="3">
        <v>22573</v>
      </c>
      <c r="I48" s="3">
        <f t="shared" si="13"/>
        <v>1368.060606060606</v>
      </c>
      <c r="J48" t="s">
        <v>43</v>
      </c>
      <c r="K48" t="s">
        <v>16</v>
      </c>
      <c r="L48">
        <v>75000</v>
      </c>
      <c r="M48" t="str">
        <f t="shared" si="14"/>
        <v>Covered</v>
      </c>
      <c r="N48" t="str">
        <f t="shared" si="15"/>
        <v>HO10CIVBLU032</v>
      </c>
    </row>
    <row r="49" spans="1:14" x14ac:dyDescent="0.3">
      <c r="A49" t="s">
        <v>85</v>
      </c>
      <c r="B49" t="str">
        <f t="shared" si="8"/>
        <v>GM</v>
      </c>
      <c r="C49" t="str">
        <f t="shared" si="9"/>
        <v>General Motors</v>
      </c>
      <c r="D49" t="str">
        <f t="shared" si="10"/>
        <v>CMR</v>
      </c>
      <c r="E49" t="str">
        <f>VLOOKUP(D49,E$56:F113,2)</f>
        <v>Camero</v>
      </c>
      <c r="F49" t="str">
        <f t="shared" si="11"/>
        <v>12</v>
      </c>
      <c r="G49">
        <f t="shared" si="12"/>
        <v>14</v>
      </c>
      <c r="H49" s="3">
        <v>19421.099999999999</v>
      </c>
      <c r="I49" s="3">
        <f t="shared" si="13"/>
        <v>1339.3862068965516</v>
      </c>
      <c r="J49" t="s">
        <v>38</v>
      </c>
      <c r="K49" t="s">
        <v>2</v>
      </c>
      <c r="L49">
        <v>100000</v>
      </c>
      <c r="M49" t="str">
        <f t="shared" si="14"/>
        <v>Covered</v>
      </c>
      <c r="N49" t="str">
        <f t="shared" si="15"/>
        <v>GM12CMRBLA015</v>
      </c>
    </row>
    <row r="50" spans="1:14" x14ac:dyDescent="0.3">
      <c r="A50" t="s">
        <v>86</v>
      </c>
      <c r="B50" t="str">
        <f t="shared" si="8"/>
        <v>FD</v>
      </c>
      <c r="C50" t="str">
        <f t="shared" si="9"/>
        <v>Ford</v>
      </c>
      <c r="D50" t="str">
        <f t="shared" si="10"/>
        <v>FCS</v>
      </c>
      <c r="E50" t="str">
        <f>VLOOKUP(D50,E$56:F114,2)</f>
        <v>Focus</v>
      </c>
      <c r="F50" t="str">
        <f t="shared" si="11"/>
        <v>12</v>
      </c>
      <c r="G50">
        <f t="shared" si="12"/>
        <v>14</v>
      </c>
      <c r="H50" s="3">
        <v>19341.7</v>
      </c>
      <c r="I50" s="3">
        <f t="shared" si="13"/>
        <v>1333.9103448275862</v>
      </c>
      <c r="J50" t="s">
        <v>34</v>
      </c>
      <c r="K50" t="s">
        <v>18</v>
      </c>
      <c r="L50">
        <v>75000</v>
      </c>
      <c r="M50" t="str">
        <f t="shared" si="14"/>
        <v>Covered</v>
      </c>
      <c r="N50" t="str">
        <f t="shared" si="15"/>
        <v>FD12FCSWHI011</v>
      </c>
    </row>
    <row r="51" spans="1:14" x14ac:dyDescent="0.3">
      <c r="A51" t="s">
        <v>87</v>
      </c>
      <c r="B51" t="str">
        <f t="shared" si="8"/>
        <v>GM</v>
      </c>
      <c r="C51" t="str">
        <f t="shared" si="9"/>
        <v>General Motors</v>
      </c>
      <c r="D51" t="str">
        <f t="shared" si="10"/>
        <v>CMR</v>
      </c>
      <c r="E51" t="str">
        <f>VLOOKUP(D51,E$56:F115,2)</f>
        <v>Camero</v>
      </c>
      <c r="F51" t="str">
        <f t="shared" si="11"/>
        <v>14</v>
      </c>
      <c r="G51">
        <f t="shared" si="12"/>
        <v>12</v>
      </c>
      <c r="H51" s="3">
        <v>14289.6</v>
      </c>
      <c r="I51" s="3">
        <f t="shared" si="13"/>
        <v>1143.1680000000001</v>
      </c>
      <c r="J51" t="s">
        <v>34</v>
      </c>
      <c r="K51" t="s">
        <v>16</v>
      </c>
      <c r="L51">
        <v>100000</v>
      </c>
      <c r="M51" t="str">
        <f t="shared" si="14"/>
        <v>Covered</v>
      </c>
      <c r="N51" t="str">
        <f t="shared" si="15"/>
        <v>GM14CMRWHI016</v>
      </c>
    </row>
    <row r="52" spans="1:14" x14ac:dyDescent="0.3">
      <c r="A52" t="s">
        <v>88</v>
      </c>
      <c r="B52" t="str">
        <f t="shared" si="8"/>
        <v>HO</v>
      </c>
      <c r="C52" t="str">
        <f t="shared" si="9"/>
        <v>Honda</v>
      </c>
      <c r="D52" t="str">
        <f t="shared" si="10"/>
        <v>CIV</v>
      </c>
      <c r="E52" t="str">
        <f>VLOOKUP(D52,E$56:F116,2)</f>
        <v>Civic</v>
      </c>
      <c r="F52" t="str">
        <f t="shared" si="11"/>
        <v>13</v>
      </c>
      <c r="G52">
        <f t="shared" si="12"/>
        <v>13</v>
      </c>
      <c r="H52" s="3">
        <v>13867.6</v>
      </c>
      <c r="I52" s="3">
        <f t="shared" si="13"/>
        <v>1027.2296296296297</v>
      </c>
      <c r="J52" t="s">
        <v>38</v>
      </c>
      <c r="K52" t="s">
        <v>3</v>
      </c>
      <c r="L52">
        <v>75000</v>
      </c>
      <c r="M52" t="str">
        <f t="shared" si="14"/>
        <v>Covered</v>
      </c>
      <c r="N52" t="str">
        <f t="shared" si="15"/>
        <v>HO13CIVBLA036</v>
      </c>
    </row>
    <row r="53" spans="1:14" x14ac:dyDescent="0.3">
      <c r="A53" t="s">
        <v>89</v>
      </c>
      <c r="B53" t="str">
        <f t="shared" si="8"/>
        <v>FD</v>
      </c>
      <c r="C53" t="str">
        <f t="shared" si="9"/>
        <v>Ford</v>
      </c>
      <c r="D53" t="str">
        <f t="shared" si="10"/>
        <v>FCS</v>
      </c>
      <c r="E53" t="str">
        <f>VLOOKUP(D53,E$56:F117,2)</f>
        <v>Focus</v>
      </c>
      <c r="F53" t="str">
        <f t="shared" si="11"/>
        <v>13</v>
      </c>
      <c r="G53">
        <f t="shared" si="12"/>
        <v>13</v>
      </c>
      <c r="H53" s="3">
        <v>13682.9</v>
      </c>
      <c r="I53" s="3">
        <f t="shared" si="13"/>
        <v>1013.5481481481481</v>
      </c>
      <c r="J53" t="s">
        <v>38</v>
      </c>
      <c r="K53" t="s">
        <v>12</v>
      </c>
      <c r="L53">
        <v>75000</v>
      </c>
      <c r="M53" t="str">
        <f t="shared" si="14"/>
        <v>Covered</v>
      </c>
      <c r="N53" t="str">
        <f t="shared" si="15"/>
        <v>FD13FCSBLA013</v>
      </c>
    </row>
    <row r="56" spans="1:14" x14ac:dyDescent="0.3">
      <c r="B56" s="1" t="s">
        <v>90</v>
      </c>
      <c r="C56" s="1" t="s">
        <v>91</v>
      </c>
      <c r="E56" s="2" t="s">
        <v>92</v>
      </c>
      <c r="F56" s="2" t="s">
        <v>93</v>
      </c>
    </row>
    <row r="57" spans="1:14" x14ac:dyDescent="0.3">
      <c r="B57" s="1" t="s">
        <v>94</v>
      </c>
      <c r="C57" s="1" t="s">
        <v>95</v>
      </c>
      <c r="E57" s="2" t="s">
        <v>96</v>
      </c>
      <c r="F57" s="2" t="s">
        <v>97</v>
      </c>
    </row>
    <row r="58" spans="1:14" x14ac:dyDescent="0.3">
      <c r="B58" s="1" t="s">
        <v>98</v>
      </c>
      <c r="C58" s="1" t="s">
        <v>99</v>
      </c>
      <c r="E58" s="2" t="s">
        <v>100</v>
      </c>
      <c r="F58" s="2" t="s">
        <v>101</v>
      </c>
    </row>
    <row r="59" spans="1:14" x14ac:dyDescent="0.3">
      <c r="B59" s="1" t="s">
        <v>102</v>
      </c>
      <c r="C59" s="1" t="s">
        <v>103</v>
      </c>
      <c r="E59" s="2" t="s">
        <v>104</v>
      </c>
      <c r="F59" s="2" t="s">
        <v>105</v>
      </c>
    </row>
    <row r="60" spans="1:14" x14ac:dyDescent="0.3">
      <c r="B60" s="1" t="s">
        <v>106</v>
      </c>
      <c r="C60" s="1" t="s">
        <v>107</v>
      </c>
      <c r="E60" s="2" t="s">
        <v>108</v>
      </c>
      <c r="F60" s="2" t="s">
        <v>109</v>
      </c>
    </row>
    <row r="61" spans="1:14" x14ac:dyDescent="0.3">
      <c r="B61" s="1" t="s">
        <v>110</v>
      </c>
      <c r="C61" s="1" t="s">
        <v>111</v>
      </c>
      <c r="E61" s="2" t="s">
        <v>112</v>
      </c>
      <c r="F61" s="2" t="s">
        <v>113</v>
      </c>
    </row>
    <row r="62" spans="1:14" x14ac:dyDescent="0.3">
      <c r="E62" s="2" t="s">
        <v>114</v>
      </c>
      <c r="F62" s="2" t="s">
        <v>115</v>
      </c>
    </row>
    <row r="63" spans="1:14" x14ac:dyDescent="0.3">
      <c r="E63" s="2" t="s">
        <v>116</v>
      </c>
      <c r="F63" s="2" t="s">
        <v>117</v>
      </c>
    </row>
    <row r="64" spans="1:14" x14ac:dyDescent="0.3">
      <c r="E64" s="2" t="s">
        <v>118</v>
      </c>
      <c r="F64" s="2" t="s">
        <v>119</v>
      </c>
    </row>
    <row r="65" spans="5:6" x14ac:dyDescent="0.3">
      <c r="E65" s="2" t="s">
        <v>120</v>
      </c>
      <c r="F65" s="2" t="s">
        <v>121</v>
      </c>
    </row>
    <row r="66" spans="5:6" x14ac:dyDescent="0.3">
      <c r="E66" s="2" t="s">
        <v>122</v>
      </c>
      <c r="F66" s="2" t="s">
        <v>123</v>
      </c>
    </row>
  </sheetData>
  <autoFilter ref="E55:E66" xr:uid="{27C6C6A4-EE42-481A-8F5D-A2AA64E20A2C}">
    <sortState xmlns:xlrd2="http://schemas.microsoft.com/office/spreadsheetml/2017/richdata2" ref="E56:E66">
      <sortCondition ref="E55:E66"/>
    </sortState>
  </autoFilter>
  <sortState xmlns:xlrd2="http://schemas.microsoft.com/office/spreadsheetml/2017/richdata2" ref="A2:N66">
    <sortCondition descending="1" ref="I2:I66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 inventory 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K</dc:creator>
  <cp:keywords/>
  <dc:description/>
  <cp:lastModifiedBy>M K</cp:lastModifiedBy>
  <cp:revision/>
  <cp:lastPrinted>2026-03-20T07:06:18Z</cp:lastPrinted>
  <dcterms:created xsi:type="dcterms:W3CDTF">2026-03-11T03:50:11Z</dcterms:created>
  <dcterms:modified xsi:type="dcterms:W3CDTF">2026-03-20T07:14:04Z</dcterms:modified>
  <cp:category/>
  <cp:contentStatus/>
</cp:coreProperties>
</file>